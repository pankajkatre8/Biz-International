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15600" windowHeight="10155"/>
  </bookViews>
  <sheets>
    <sheet name="Frame" sheetId="1" r:id="rId1"/>
    <sheet name="Door" sheetId="2" r:id="rId2"/>
    <sheet name="Pending Frame" sheetId="4" r:id="rId3"/>
    <sheet name="Sheet3" sheetId="5" r:id="rId4"/>
    <sheet name="Sheet1" sheetId="6" r:id="rId5"/>
    <sheet name="Pending Frame 25.08.25" sheetId="7" r:id="rId6"/>
    <sheet name="Pending Door 21.09.25" sheetId="8" r:id="rId7"/>
    <sheet name="Sheet2" sheetId="9" r:id="rId8"/>
  </sheets>
  <definedNames>
    <definedName name="_xlnm.Print_Area" localSheetId="1">Door!$A$1:$N$198</definedName>
    <definedName name="_xlnm.Print_Area" localSheetId="0">Frame!$A$1:$L$195</definedName>
  </definedNames>
  <calcPr calcId="144525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235" i="2" l="1"/>
  <c r="I238" i="2" s="1"/>
  <c r="H235" i="2"/>
  <c r="H238" i="2" s="1"/>
  <c r="G235" i="2"/>
  <c r="G238" i="2" s="1"/>
  <c r="F235" i="2"/>
  <c r="F238" i="2" s="1"/>
  <c r="E235" i="2"/>
  <c r="E238" i="2" s="1"/>
  <c r="D196" i="1" l="1"/>
  <c r="K212" i="9" l="1"/>
  <c r="P211" i="9"/>
  <c r="K211" i="9"/>
  <c r="K209" i="9"/>
  <c r="G204" i="9"/>
  <c r="H204" i="9" s="1"/>
  <c r="G203" i="9"/>
  <c r="H203" i="9" s="1"/>
  <c r="T202" i="9"/>
  <c r="S202" i="9"/>
  <c r="H202" i="9"/>
  <c r="S197" i="9"/>
  <c r="J211" i="1" l="1"/>
  <c r="I211" i="1"/>
  <c r="H211" i="1"/>
  <c r="G211" i="1"/>
  <c r="F211" i="1"/>
  <c r="D20" i="8" l="1"/>
  <c r="E20" i="8"/>
  <c r="F20" i="8"/>
  <c r="G20" i="8"/>
  <c r="H20" i="8"/>
  <c r="K220" i="1" l="1"/>
  <c r="O16" i="1" l="1"/>
  <c r="O17" i="1"/>
  <c r="F15" i="7" l="1"/>
  <c r="E15" i="7"/>
  <c r="D15" i="7"/>
  <c r="K197" i="2"/>
  <c r="J213" i="1" l="1"/>
  <c r="I213" i="1"/>
  <c r="H213" i="1"/>
  <c r="G213" i="1"/>
  <c r="F213" i="1"/>
  <c r="I220" i="1" l="1"/>
  <c r="G220" i="1"/>
  <c r="G219" i="1"/>
  <c r="G218" i="1"/>
  <c r="G217" i="1"/>
  <c r="D138" i="5" l="1"/>
  <c r="E138" i="5"/>
  <c r="F138" i="5"/>
  <c r="G138" i="5"/>
  <c r="H138" i="5"/>
  <c r="F34" i="4"/>
  <c r="G34" i="4"/>
  <c r="H34" i="4"/>
  <c r="L202" i="2" l="1"/>
  <c r="K202" i="2"/>
  <c r="J211" i="2" l="1"/>
  <c r="G209" i="2" l="1"/>
  <c r="G211" i="2"/>
  <c r="G212" i="2"/>
  <c r="F204" i="2" l="1"/>
  <c r="F203" i="2"/>
  <c r="F202" i="2"/>
  <c r="E204" i="2" l="1"/>
  <c r="E203" i="2"/>
  <c r="F219" i="1"/>
  <c r="F218" i="1"/>
</calcChain>
</file>

<file path=xl/sharedStrings.xml><?xml version="1.0" encoding="utf-8"?>
<sst xmlns="http://schemas.openxmlformats.org/spreadsheetml/2006/main" count="815" uniqueCount="75">
  <si>
    <t>Sr.no</t>
  </si>
  <si>
    <t>Flat No</t>
  </si>
  <si>
    <t>Height</t>
  </si>
  <si>
    <t>Width</t>
  </si>
  <si>
    <t>MD</t>
  </si>
  <si>
    <t>MB</t>
  </si>
  <si>
    <t>CB</t>
  </si>
  <si>
    <t>MT</t>
  </si>
  <si>
    <t>CT</t>
  </si>
  <si>
    <t>Refugee</t>
  </si>
  <si>
    <t>BED</t>
  </si>
  <si>
    <t>BATH</t>
  </si>
  <si>
    <t>Thick</t>
  </si>
  <si>
    <t>Total</t>
  </si>
  <si>
    <t>Rec 24.04.25</t>
  </si>
  <si>
    <t>Bath</t>
  </si>
  <si>
    <t>Dispatch 20.06.2025</t>
  </si>
  <si>
    <t>Ord No 462</t>
  </si>
  <si>
    <t>Rec 16.06.2025</t>
  </si>
  <si>
    <t>NO</t>
  </si>
  <si>
    <t>Rec 08.07.25</t>
  </si>
  <si>
    <t>Lam Cutting Akla</t>
  </si>
  <si>
    <t>Bed</t>
  </si>
  <si>
    <t>Fronth</t>
  </si>
  <si>
    <t>Back</t>
  </si>
  <si>
    <t>22 USE DOOR</t>
  </si>
  <si>
    <t>Rec 24.07.25</t>
  </si>
  <si>
    <t>MANAV (LA CENTRA ) FRAME BALANCE SIZES REQUIRED</t>
  </si>
  <si>
    <t>TOTAL</t>
  </si>
  <si>
    <t>MANAV (LA CENTRA ) DOOR BALANCE SIZES REQUIRED</t>
  </si>
  <si>
    <t>Dispatch</t>
  </si>
  <si>
    <t>18.05.25</t>
  </si>
  <si>
    <t>MDF</t>
  </si>
  <si>
    <t>BDF</t>
  </si>
  <si>
    <t>BD</t>
  </si>
  <si>
    <t>27.05.25</t>
  </si>
  <si>
    <t>20.06.25</t>
  </si>
  <si>
    <t>Date</t>
  </si>
  <si>
    <t>Bill No</t>
  </si>
  <si>
    <t>22.06.25</t>
  </si>
  <si>
    <t>18.07.25</t>
  </si>
  <si>
    <t>245/246</t>
  </si>
  <si>
    <t>06.02.25/20.06.25</t>
  </si>
  <si>
    <t>Order</t>
  </si>
  <si>
    <t>Balance</t>
  </si>
  <si>
    <t>Sample</t>
  </si>
  <si>
    <t xml:space="preserve">Flooring </t>
  </si>
  <si>
    <t>Last 4 Frame Dena Hai Adjustment Kiya Hai Side Pe</t>
  </si>
  <si>
    <t>04.08.25</t>
  </si>
  <si>
    <t>28.08.25</t>
  </si>
  <si>
    <t>29.08.25</t>
  </si>
  <si>
    <t>FRAME</t>
  </si>
  <si>
    <t>DOOR</t>
  </si>
  <si>
    <t>SCREW</t>
  </si>
  <si>
    <t>LOCK</t>
  </si>
  <si>
    <t>Frame</t>
  </si>
  <si>
    <t xml:space="preserve">LA Centra Site </t>
  </si>
  <si>
    <t xml:space="preserve">Door </t>
  </si>
  <si>
    <t xml:space="preserve">Gate Pass no </t>
  </si>
  <si>
    <t>Gate Pass Date</t>
  </si>
  <si>
    <t>Invoice no</t>
  </si>
  <si>
    <t xml:space="preserve">MD </t>
  </si>
  <si>
    <t xml:space="preserve">Bed </t>
  </si>
  <si>
    <t>16.5.2025</t>
  </si>
  <si>
    <t>27.5.2025</t>
  </si>
  <si>
    <t>6.2.2025</t>
  </si>
  <si>
    <t>20.6.2025</t>
  </si>
  <si>
    <t>22.6.2025</t>
  </si>
  <si>
    <t>18.7.2025</t>
  </si>
  <si>
    <t xml:space="preserve"> </t>
  </si>
  <si>
    <t>1.8.2025</t>
  </si>
  <si>
    <t>27.8.2025</t>
  </si>
  <si>
    <t>23.9.2025</t>
  </si>
  <si>
    <t>13.10.25</t>
  </si>
  <si>
    <t>3.10.2025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</si>
</sst>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 Light"/>
      <family val="2"/>
      <scheme val="major"/>
    </font>
    <font>
      <b/>
      <sz val="11"/>
      <color theme="1"/>
      <name val="Calibri Light"/>
      <family val="1"/>
      <scheme val="maj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B0F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56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/>
    </xf>
    <xf numFmtId="0" fontId="0" fillId="3" borderId="1" xfId="0" applyFill="1" applyBorder="1"/>
    <xf numFmtId="0" fontId="0" fillId="0" borderId="1" xfId="0" applyBorder="1" applyAlignment="1">
      <alignment horizontal="center"/>
    </xf>
    <xf numFmtId="0" fontId="0" fillId="4" borderId="10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0" fillId="5" borderId="10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0" xfId="0" applyFill="1" applyAlignment="1"/>
    <xf numFmtId="0" fontId="0" fillId="5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0" borderId="0" xfId="0" applyBorder="1"/>
    <xf numFmtId="0" fontId="0" fillId="6" borderId="1" xfId="0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7" borderId="1" xfId="0" applyFill="1" applyBorder="1"/>
    <xf numFmtId="0" fontId="0" fillId="7" borderId="0" xfId="0" applyFill="1" applyAlignment="1"/>
    <xf numFmtId="0" fontId="0" fillId="7" borderId="0" xfId="0" applyFill="1" applyAlignment="1">
      <alignment horizont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9" borderId="0" xfId="0" applyFill="1" applyAlignment="1">
      <alignment horizontal="center"/>
    </xf>
    <xf numFmtId="0" fontId="0" fillId="8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10" borderId="1" xfId="0" applyFill="1" applyBorder="1" applyAlignment="1">
      <alignment horizontal="center"/>
    </xf>
    <xf numFmtId="0" fontId="5" fillId="10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11" borderId="1" xfId="0" applyFill="1" applyBorder="1" applyAlignment="1">
      <alignment horizontal="center"/>
    </xf>
    <xf numFmtId="0" fontId="0" fillId="11" borderId="1" xfId="0" applyFill="1" applyBorder="1" applyAlignment="1">
      <alignment horizontal="center" vertical="center"/>
    </xf>
    <xf numFmtId="0" fontId="0" fillId="12" borderId="1" xfId="0" applyFill="1" applyBorder="1" applyAlignment="1">
      <alignment horizontal="center"/>
    </xf>
    <xf numFmtId="0" fontId="0" fillId="12" borderId="1" xfId="0" applyFont="1" applyFill="1" applyBorder="1" applyAlignment="1">
      <alignment horizontal="center"/>
    </xf>
    <xf numFmtId="0" fontId="0" fillId="13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/>
    </xf>
    <xf numFmtId="0" fontId="0" fillId="0" borderId="0" xfId="0" applyFill="1" applyBorder="1" applyAlignment="1">
      <alignment horizontal="center" vertical="center"/>
    </xf>
    <xf numFmtId="0" fontId="0" fillId="0" borderId="0" xfId="0" applyFill="1" applyBorder="1"/>
    <xf numFmtId="0" fontId="0" fillId="0" borderId="0" xfId="0" applyAlignment="1">
      <alignment horizontal="center"/>
    </xf>
    <xf numFmtId="0" fontId="0" fillId="14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12" borderId="0" xfId="0" applyFill="1" applyBorder="1" applyAlignment="1">
      <alignment horizontal="center"/>
    </xf>
    <xf numFmtId="0" fontId="0" fillId="0" borderId="0" xfId="0" applyFill="1"/>
    <xf numFmtId="0" fontId="0" fillId="0" borderId="2" xfId="0" applyBorder="1" applyAlignment="1">
      <alignment horizontal="center"/>
    </xf>
    <xf numFmtId="0" fontId="0" fillId="0" borderId="0" xfId="0" applyFill="1" applyAlignment="1"/>
    <xf numFmtId="0" fontId="0" fillId="0" borderId="2" xfId="0" applyFill="1" applyBorder="1" applyAlignment="1">
      <alignment horizontal="center"/>
    </xf>
    <xf numFmtId="0" fontId="0" fillId="9" borderId="18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center"/>
    </xf>
    <xf numFmtId="0" fontId="0" fillId="15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9" borderId="17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center"/>
    </xf>
    <xf numFmtId="0" fontId="0" fillId="0" borderId="1" xfId="0" applyFill="1" applyBorder="1"/>
    <xf numFmtId="0" fontId="0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0" fillId="0" borderId="0" xfId="0" applyFill="1" applyAlignment="1">
      <alignment horizontal="center"/>
    </xf>
    <xf numFmtId="0" fontId="0" fillId="0" borderId="10" xfId="0" applyFill="1" applyBorder="1" applyAlignment="1">
      <alignment horizontal="center"/>
    </xf>
    <xf numFmtId="0" fontId="0" fillId="0" borderId="7" xfId="0" applyFill="1" applyBorder="1" applyAlignment="1">
      <alignment horizontal="center" vertical="center"/>
    </xf>
    <xf numFmtId="0" fontId="0" fillId="0" borderId="9" xfId="0" applyFill="1" applyBorder="1" applyAlignment="1">
      <alignment horizontal="center" vertical="center"/>
    </xf>
    <xf numFmtId="0" fontId="0" fillId="0" borderId="12" xfId="0" applyFill="1" applyBorder="1" applyAlignment="1">
      <alignment horizontal="center" vertical="center"/>
    </xf>
    <xf numFmtId="0" fontId="0" fillId="0" borderId="0" xfId="0" applyAlignment="1"/>
    <xf numFmtId="0" fontId="5" fillId="0" borderId="0" xfId="0" applyFont="1" applyAlignment="1">
      <alignment vertical="center"/>
    </xf>
    <xf numFmtId="0" fontId="6" fillId="10" borderId="0" xfId="0" applyFont="1" applyFill="1" applyAlignment="1">
      <alignment vertical="center"/>
    </xf>
    <xf numFmtId="0" fontId="5" fillId="10" borderId="3" xfId="0" applyFont="1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5" fillId="16" borderId="1" xfId="0" applyFont="1" applyFill="1" applyBorder="1" applyAlignment="1">
      <alignment horizontal="center" vertical="center"/>
    </xf>
    <xf numFmtId="0" fontId="0" fillId="16" borderId="1" xfId="0" applyFill="1" applyBorder="1" applyAlignment="1">
      <alignment horizontal="center" vertical="center"/>
    </xf>
    <xf numFmtId="0" fontId="0" fillId="16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5" fillId="10" borderId="16" xfId="0" applyFont="1" applyFill="1" applyBorder="1" applyAlignment="1">
      <alignment horizontal="center" vertical="center"/>
    </xf>
    <xf numFmtId="0" fontId="5" fillId="10" borderId="18" xfId="0" applyFont="1" applyFill="1" applyBorder="1" applyAlignment="1">
      <alignment horizontal="center" vertical="center"/>
    </xf>
    <xf numFmtId="0" fontId="5" fillId="10" borderId="17" xfId="0" applyFont="1" applyFill="1" applyBorder="1" applyAlignment="1">
      <alignment horizontal="center" vertical="center"/>
    </xf>
    <xf numFmtId="0" fontId="0" fillId="4" borderId="14" xfId="0" applyFill="1" applyBorder="1" applyAlignment="1">
      <alignment horizontal="center"/>
    </xf>
    <xf numFmtId="0" fontId="0" fillId="3" borderId="6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3" borderId="13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0" fillId="3" borderId="12" xfId="0" applyFill="1" applyBorder="1" applyAlignment="1">
      <alignment horizontal="center" vertical="center"/>
    </xf>
    <xf numFmtId="0" fontId="4" fillId="9" borderId="15" xfId="0" applyFont="1" applyFill="1" applyBorder="1" applyAlignment="1">
      <alignment horizont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wrapText="1"/>
    </xf>
    <xf numFmtId="0" fontId="0" fillId="9" borderId="14" xfId="0" applyFill="1" applyBorder="1" applyAlignment="1">
      <alignment horizontal="center"/>
    </xf>
    <xf numFmtId="0" fontId="0" fillId="0" borderId="2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/>
    </xf>
    <xf numFmtId="0" fontId="0" fillId="0" borderId="4" xfId="0" applyFill="1" applyBorder="1" applyAlignment="1">
      <alignment horizontal="center" vertical="center"/>
    </xf>
    <xf numFmtId="0" fontId="0" fillId="0" borderId="8" xfId="0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0" borderId="4" xfId="0" applyFill="1" applyBorder="1" applyAlignment="1">
      <alignment horizontal="center"/>
    </xf>
    <xf numFmtId="0" fontId="0" fillId="0" borderId="8" xfId="0" applyFill="1" applyBorder="1" applyAlignment="1">
      <alignment horizontal="center"/>
    </xf>
    <xf numFmtId="0" fontId="0" fillId="0" borderId="5" xfId="0" applyFill="1" applyBorder="1" applyAlignment="1">
      <alignment horizontal="center"/>
    </xf>
    <xf numFmtId="0" fontId="0" fillId="9" borderId="16" xfId="0" applyFill="1" applyBorder="1" applyAlignment="1">
      <alignment horizontal="center"/>
    </xf>
    <xf numFmtId="0" fontId="0" fillId="9" borderId="17" xfId="0" applyFill="1" applyBorder="1" applyAlignment="1">
      <alignment horizontal="center"/>
    </xf>
    <xf numFmtId="0" fontId="0" fillId="0" borderId="6" xfId="0" applyFill="1" applyBorder="1" applyAlignment="1">
      <alignment horizontal="center" vertical="center"/>
    </xf>
    <xf numFmtId="0" fontId="0" fillId="0" borderId="7" xfId="0" applyFill="1" applyBorder="1" applyAlignment="1">
      <alignment horizontal="center" vertical="center"/>
    </xf>
    <xf numFmtId="0" fontId="0" fillId="0" borderId="13" xfId="0" applyFill="1" applyBorder="1" applyAlignment="1">
      <alignment horizontal="center" vertical="center"/>
    </xf>
    <xf numFmtId="0" fontId="0" fillId="0" borderId="9" xfId="0" applyFill="1" applyBorder="1" applyAlignment="1">
      <alignment horizontal="center" vertical="center"/>
    </xf>
    <xf numFmtId="0" fontId="0" fillId="0" borderId="11" xfId="0" applyFill="1" applyBorder="1" applyAlignment="1">
      <alignment horizontal="center" vertical="center"/>
    </xf>
    <xf numFmtId="0" fontId="0" fillId="0" borderId="12" xfId="0" applyFill="1" applyBorder="1" applyAlignment="1">
      <alignment horizontal="center" vertical="center"/>
    </xf>
    <xf numFmtId="0" fontId="0" fillId="0" borderId="14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B2:V229"/>
  <sheetViews>
    <sheetView tabSelected="1" view="pageBreakPreview" topLeftCell="A19" zoomScale="60" zoomScaleNormal="50" workbookViewId="0">
      <selection activeCell="P34" sqref="P34"/>
    </sheetView>
  </sheetViews>
  <sheetFormatPr defaultRowHeight="15" x14ac:dyDescent="0.25"/>
  <cols>
    <col min="4" max="4" width="15.7109375" customWidth="1"/>
    <col min="5" max="10" width="9.140625" style="44"/>
    <col min="11" max="11" width="9.140625" style="32"/>
  </cols>
  <sheetData>
    <row r="2" spans="2:15" x14ac:dyDescent="0.25">
      <c r="B2" s="114" t="s">
        <v>0</v>
      </c>
      <c r="C2" s="118" t="s">
        <v>1</v>
      </c>
      <c r="D2" s="120" t="s">
        <v>4</v>
      </c>
      <c r="E2" s="120"/>
      <c r="F2" s="120"/>
      <c r="G2" s="111" t="s">
        <v>5</v>
      </c>
      <c r="H2" s="112"/>
      <c r="I2" s="113"/>
      <c r="J2" s="108" t="s">
        <v>6</v>
      </c>
      <c r="K2" s="109"/>
      <c r="L2" s="110"/>
    </row>
    <row r="3" spans="2:15" x14ac:dyDescent="0.25">
      <c r="B3" s="115"/>
      <c r="C3" s="119"/>
      <c r="D3" s="7" t="s">
        <v>12</v>
      </c>
      <c r="E3" s="38" t="s">
        <v>2</v>
      </c>
      <c r="F3" s="38" t="s">
        <v>3</v>
      </c>
      <c r="G3" s="39" t="s">
        <v>12</v>
      </c>
      <c r="H3" s="38" t="s">
        <v>2</v>
      </c>
      <c r="I3" s="38" t="s">
        <v>3</v>
      </c>
      <c r="J3" s="39" t="s">
        <v>12</v>
      </c>
      <c r="K3" s="37" t="s">
        <v>2</v>
      </c>
      <c r="L3" s="2" t="s">
        <v>3</v>
      </c>
    </row>
    <row r="4" spans="2:15" x14ac:dyDescent="0.25">
      <c r="B4" s="1">
        <v>1</v>
      </c>
      <c r="C4" s="1">
        <v>101</v>
      </c>
      <c r="D4" s="2" t="s">
        <v>19</v>
      </c>
      <c r="E4" s="38" t="s">
        <v>19</v>
      </c>
      <c r="F4" s="38" t="s">
        <v>19</v>
      </c>
      <c r="G4" s="38" t="s">
        <v>19</v>
      </c>
      <c r="H4" s="38" t="s">
        <v>19</v>
      </c>
      <c r="I4" s="38" t="s">
        <v>19</v>
      </c>
      <c r="J4" s="38" t="s">
        <v>19</v>
      </c>
      <c r="K4" s="37" t="s">
        <v>19</v>
      </c>
      <c r="L4" s="10" t="s">
        <v>19</v>
      </c>
    </row>
    <row r="5" spans="2:15" x14ac:dyDescent="0.25">
      <c r="B5" s="1">
        <v>2</v>
      </c>
      <c r="C5" s="1">
        <v>102</v>
      </c>
      <c r="D5" s="10" t="s">
        <v>19</v>
      </c>
      <c r="E5" s="38" t="s">
        <v>19</v>
      </c>
      <c r="F5" s="38" t="s">
        <v>19</v>
      </c>
      <c r="G5" s="38" t="s">
        <v>19</v>
      </c>
      <c r="H5" s="38" t="s">
        <v>19</v>
      </c>
      <c r="I5" s="38" t="s">
        <v>19</v>
      </c>
      <c r="J5" s="38" t="s">
        <v>19</v>
      </c>
      <c r="K5" s="37" t="s">
        <v>19</v>
      </c>
      <c r="L5" s="10" t="s">
        <v>19</v>
      </c>
    </row>
    <row r="6" spans="2:15" x14ac:dyDescent="0.25">
      <c r="B6" s="1">
        <v>3</v>
      </c>
      <c r="C6" s="1">
        <v>103</v>
      </c>
      <c r="D6" s="10" t="s">
        <v>19</v>
      </c>
      <c r="E6" s="38" t="s">
        <v>19</v>
      </c>
      <c r="F6" s="38" t="s">
        <v>19</v>
      </c>
      <c r="G6" s="38" t="s">
        <v>19</v>
      </c>
      <c r="H6" s="38" t="s">
        <v>19</v>
      </c>
      <c r="I6" s="38" t="s">
        <v>19</v>
      </c>
      <c r="J6" s="38" t="s">
        <v>19</v>
      </c>
      <c r="K6" s="37" t="s">
        <v>19</v>
      </c>
      <c r="L6" s="10" t="s">
        <v>19</v>
      </c>
    </row>
    <row r="7" spans="2:15" x14ac:dyDescent="0.25">
      <c r="B7" s="1">
        <v>4</v>
      </c>
      <c r="C7" s="1">
        <v>104</v>
      </c>
      <c r="D7" s="10" t="s">
        <v>19</v>
      </c>
      <c r="E7" s="38" t="s">
        <v>19</v>
      </c>
      <c r="F7" s="38" t="s">
        <v>19</v>
      </c>
      <c r="G7" s="38" t="s">
        <v>19</v>
      </c>
      <c r="H7" s="38" t="s">
        <v>19</v>
      </c>
      <c r="I7" s="38" t="s">
        <v>19</v>
      </c>
      <c r="J7" s="38" t="s">
        <v>19</v>
      </c>
      <c r="K7" s="37" t="s">
        <v>19</v>
      </c>
      <c r="L7" s="10" t="s">
        <v>19</v>
      </c>
    </row>
    <row r="8" spans="2:15" x14ac:dyDescent="0.25">
      <c r="B8" s="1">
        <v>5</v>
      </c>
      <c r="C8" s="1">
        <v>105</v>
      </c>
      <c r="D8" s="10" t="s">
        <v>19</v>
      </c>
      <c r="E8" s="38" t="s">
        <v>19</v>
      </c>
      <c r="F8" s="38" t="s">
        <v>19</v>
      </c>
      <c r="G8" s="38" t="s">
        <v>19</v>
      </c>
      <c r="H8" s="38" t="s">
        <v>19</v>
      </c>
      <c r="I8" s="38" t="s">
        <v>19</v>
      </c>
      <c r="J8" s="38" t="s">
        <v>19</v>
      </c>
      <c r="K8" s="37" t="s">
        <v>19</v>
      </c>
      <c r="L8" s="10" t="s">
        <v>19</v>
      </c>
    </row>
    <row r="9" spans="2:15" x14ac:dyDescent="0.25">
      <c r="B9" s="1">
        <v>6</v>
      </c>
      <c r="C9" s="1">
        <v>106</v>
      </c>
      <c r="D9" s="10" t="s">
        <v>19</v>
      </c>
      <c r="E9" s="38" t="s">
        <v>19</v>
      </c>
      <c r="F9" s="38" t="s">
        <v>19</v>
      </c>
      <c r="G9" s="38" t="s">
        <v>19</v>
      </c>
      <c r="H9" s="38" t="s">
        <v>19</v>
      </c>
      <c r="I9" s="38" t="s">
        <v>19</v>
      </c>
      <c r="J9" s="38" t="s">
        <v>19</v>
      </c>
      <c r="K9" s="37" t="s">
        <v>19</v>
      </c>
      <c r="L9" s="10" t="s">
        <v>19</v>
      </c>
    </row>
    <row r="10" spans="2:15" x14ac:dyDescent="0.25">
      <c r="B10" s="1">
        <v>7</v>
      </c>
      <c r="C10" s="1">
        <v>107</v>
      </c>
      <c r="D10" s="10" t="s">
        <v>19</v>
      </c>
      <c r="E10" s="38" t="s">
        <v>19</v>
      </c>
      <c r="F10" s="38" t="s">
        <v>19</v>
      </c>
      <c r="G10" s="38" t="s">
        <v>19</v>
      </c>
      <c r="H10" s="38" t="s">
        <v>19</v>
      </c>
      <c r="I10" s="38" t="s">
        <v>19</v>
      </c>
      <c r="J10" s="38" t="s">
        <v>19</v>
      </c>
      <c r="K10" s="37" t="s">
        <v>19</v>
      </c>
      <c r="L10" s="10" t="s">
        <v>19</v>
      </c>
    </row>
    <row r="11" spans="2:15" x14ac:dyDescent="0.25">
      <c r="B11" s="1">
        <v>8</v>
      </c>
      <c r="C11" s="1">
        <v>108</v>
      </c>
      <c r="D11" s="10" t="s">
        <v>19</v>
      </c>
      <c r="E11" s="38" t="s">
        <v>19</v>
      </c>
      <c r="F11" s="38" t="s">
        <v>19</v>
      </c>
      <c r="G11" s="38" t="s">
        <v>19</v>
      </c>
      <c r="H11" s="38" t="s">
        <v>19</v>
      </c>
      <c r="I11" s="38" t="s">
        <v>19</v>
      </c>
      <c r="J11" s="38" t="s">
        <v>19</v>
      </c>
      <c r="K11" s="37" t="s">
        <v>19</v>
      </c>
      <c r="L11" s="10" t="s">
        <v>19</v>
      </c>
    </row>
    <row r="12" spans="2:15" x14ac:dyDescent="0.25">
      <c r="B12" s="1">
        <v>9</v>
      </c>
      <c r="C12" s="1">
        <v>109</v>
      </c>
      <c r="D12" s="10" t="s">
        <v>19</v>
      </c>
      <c r="E12" s="38" t="s">
        <v>19</v>
      </c>
      <c r="F12" s="38" t="s">
        <v>19</v>
      </c>
      <c r="G12" s="38" t="s">
        <v>19</v>
      </c>
      <c r="H12" s="38" t="s">
        <v>19</v>
      </c>
      <c r="I12" s="38" t="s">
        <v>19</v>
      </c>
      <c r="J12" s="38" t="s">
        <v>19</v>
      </c>
      <c r="K12" s="37" t="s">
        <v>19</v>
      </c>
      <c r="L12" s="10" t="s">
        <v>19</v>
      </c>
    </row>
    <row r="13" spans="2:15" x14ac:dyDescent="0.25">
      <c r="B13" s="1">
        <v>10</v>
      </c>
      <c r="C13" s="1">
        <v>110</v>
      </c>
      <c r="D13" s="10" t="s">
        <v>19</v>
      </c>
      <c r="E13" s="38" t="s">
        <v>19</v>
      </c>
      <c r="F13" s="38" t="s">
        <v>19</v>
      </c>
      <c r="G13" s="38" t="s">
        <v>19</v>
      </c>
      <c r="H13" s="38" t="s">
        <v>19</v>
      </c>
      <c r="I13" s="38" t="s">
        <v>19</v>
      </c>
      <c r="J13" s="38" t="s">
        <v>19</v>
      </c>
      <c r="K13" s="37" t="s">
        <v>19</v>
      </c>
      <c r="L13" s="10" t="s">
        <v>19</v>
      </c>
    </row>
    <row r="14" spans="2:15" x14ac:dyDescent="0.25">
      <c r="B14" s="1">
        <v>11</v>
      </c>
      <c r="C14" s="1">
        <v>111</v>
      </c>
      <c r="D14" s="10" t="s">
        <v>19</v>
      </c>
      <c r="E14" s="38" t="s">
        <v>19</v>
      </c>
      <c r="F14" s="38" t="s">
        <v>19</v>
      </c>
      <c r="G14" s="38" t="s">
        <v>19</v>
      </c>
      <c r="H14" s="38" t="s">
        <v>19</v>
      </c>
      <c r="I14" s="38" t="s">
        <v>19</v>
      </c>
      <c r="J14" s="38" t="s">
        <v>19</v>
      </c>
      <c r="K14" s="37" t="s">
        <v>19</v>
      </c>
      <c r="L14" s="10" t="s">
        <v>19</v>
      </c>
    </row>
    <row r="15" spans="2:15" x14ac:dyDescent="0.25">
      <c r="B15" s="1">
        <v>12</v>
      </c>
      <c r="C15" s="1">
        <v>112</v>
      </c>
      <c r="D15" s="10" t="s">
        <v>19</v>
      </c>
      <c r="E15" s="38" t="s">
        <v>19</v>
      </c>
      <c r="F15" s="38" t="s">
        <v>19</v>
      </c>
      <c r="G15" s="38" t="s">
        <v>19</v>
      </c>
      <c r="H15" s="38" t="s">
        <v>19</v>
      </c>
      <c r="I15" s="38" t="s">
        <v>19</v>
      </c>
      <c r="J15" s="38" t="s">
        <v>19</v>
      </c>
      <c r="K15" s="37" t="s">
        <v>19</v>
      </c>
      <c r="L15" s="10" t="s">
        <v>19</v>
      </c>
    </row>
    <row r="16" spans="2:15" x14ac:dyDescent="0.25">
      <c r="B16" s="1">
        <v>13</v>
      </c>
      <c r="C16" s="1">
        <v>201</v>
      </c>
      <c r="D16" s="31">
        <v>150</v>
      </c>
      <c r="E16" s="34">
        <v>2250</v>
      </c>
      <c r="F16" s="34">
        <v>1025</v>
      </c>
      <c r="G16" s="34">
        <v>145</v>
      </c>
      <c r="H16" s="34">
        <v>2245</v>
      </c>
      <c r="I16" s="34">
        <v>890</v>
      </c>
      <c r="J16" s="34">
        <v>145</v>
      </c>
      <c r="K16" s="31">
        <v>2245</v>
      </c>
      <c r="L16" s="31">
        <v>890</v>
      </c>
      <c r="O16">
        <f>900-25</f>
        <v>875</v>
      </c>
    </row>
    <row r="17" spans="2:22" x14ac:dyDescent="0.25">
      <c r="B17" s="1">
        <v>14</v>
      </c>
      <c r="C17" s="1">
        <v>202</v>
      </c>
      <c r="D17" s="31">
        <v>150</v>
      </c>
      <c r="E17" s="34">
        <v>2250</v>
      </c>
      <c r="F17" s="34">
        <v>1025</v>
      </c>
      <c r="G17" s="34">
        <v>150</v>
      </c>
      <c r="H17" s="34">
        <v>2265</v>
      </c>
      <c r="I17" s="34">
        <v>890</v>
      </c>
      <c r="J17" s="34">
        <v>140</v>
      </c>
      <c r="K17" s="31">
        <v>2265</v>
      </c>
      <c r="L17" s="31">
        <v>890</v>
      </c>
      <c r="O17">
        <f>O16/25.4</f>
        <v>34.4488188976378</v>
      </c>
    </row>
    <row r="18" spans="2:22" x14ac:dyDescent="0.25">
      <c r="B18" s="1">
        <v>15</v>
      </c>
      <c r="C18" s="1">
        <v>203</v>
      </c>
      <c r="D18" s="31">
        <v>150</v>
      </c>
      <c r="E18" s="34">
        <v>2265</v>
      </c>
      <c r="F18" s="34">
        <v>1020</v>
      </c>
      <c r="G18" s="34">
        <v>140</v>
      </c>
      <c r="H18" s="34">
        <v>2260</v>
      </c>
      <c r="I18" s="34">
        <v>900</v>
      </c>
      <c r="J18" s="34">
        <v>145</v>
      </c>
      <c r="K18" s="31">
        <v>2260</v>
      </c>
      <c r="L18" s="31">
        <v>900</v>
      </c>
    </row>
    <row r="19" spans="2:22" x14ac:dyDescent="0.25">
      <c r="B19" s="1">
        <v>16</v>
      </c>
      <c r="C19" s="1">
        <v>204</v>
      </c>
      <c r="D19" s="31">
        <v>150</v>
      </c>
      <c r="E19" s="34">
        <v>2260</v>
      </c>
      <c r="F19" s="34">
        <v>1030</v>
      </c>
      <c r="G19" s="34">
        <v>145</v>
      </c>
      <c r="H19" s="34">
        <v>2255</v>
      </c>
      <c r="I19" s="34">
        <v>885</v>
      </c>
      <c r="J19" s="34">
        <v>140</v>
      </c>
      <c r="K19" s="31">
        <v>2255</v>
      </c>
      <c r="L19" s="31">
        <v>885</v>
      </c>
    </row>
    <row r="20" spans="2:22" x14ac:dyDescent="0.25">
      <c r="B20" s="1">
        <v>17</v>
      </c>
      <c r="C20" s="1">
        <v>205</v>
      </c>
      <c r="D20" s="31">
        <v>150</v>
      </c>
      <c r="E20" s="34">
        <v>2255</v>
      </c>
      <c r="F20" s="34">
        <v>1025</v>
      </c>
      <c r="G20" s="34">
        <v>140</v>
      </c>
      <c r="H20" s="34">
        <v>2255</v>
      </c>
      <c r="I20" s="34">
        <v>895</v>
      </c>
      <c r="J20" s="34">
        <v>140</v>
      </c>
      <c r="K20" s="31">
        <v>2255</v>
      </c>
      <c r="L20" s="31">
        <v>895</v>
      </c>
      <c r="R20" t="s">
        <v>47</v>
      </c>
    </row>
    <row r="21" spans="2:22" x14ac:dyDescent="0.25">
      <c r="B21" s="1">
        <v>18</v>
      </c>
      <c r="C21" s="1">
        <v>206</v>
      </c>
      <c r="D21" s="31">
        <v>225</v>
      </c>
      <c r="E21" s="34">
        <v>2230</v>
      </c>
      <c r="F21" s="34">
        <v>1020</v>
      </c>
      <c r="G21" s="34">
        <v>185</v>
      </c>
      <c r="H21" s="34">
        <v>2225</v>
      </c>
      <c r="I21" s="34">
        <v>870</v>
      </c>
      <c r="J21" s="34">
        <v>145</v>
      </c>
      <c r="K21" s="31">
        <v>2225</v>
      </c>
      <c r="L21" s="31">
        <v>860</v>
      </c>
    </row>
    <row r="22" spans="2:22" x14ac:dyDescent="0.25">
      <c r="B22" s="1">
        <v>19</v>
      </c>
      <c r="C22" s="1">
        <v>207</v>
      </c>
      <c r="D22" s="31">
        <v>150</v>
      </c>
      <c r="E22" s="34">
        <v>2225</v>
      </c>
      <c r="F22" s="34">
        <v>1020</v>
      </c>
      <c r="G22" s="34">
        <v>160</v>
      </c>
      <c r="H22" s="34">
        <v>2225</v>
      </c>
      <c r="I22" s="34">
        <v>900</v>
      </c>
      <c r="J22" s="34">
        <v>145</v>
      </c>
      <c r="K22" s="31">
        <v>2225</v>
      </c>
      <c r="L22" s="31">
        <v>900</v>
      </c>
      <c r="P22" s="73">
        <v>92</v>
      </c>
      <c r="Q22" s="73">
        <v>912</v>
      </c>
      <c r="R22" s="73" t="s">
        <v>6</v>
      </c>
      <c r="S22" s="73">
        <v>130</v>
      </c>
      <c r="T22" s="73">
        <v>2215</v>
      </c>
      <c r="U22" s="73">
        <v>900</v>
      </c>
      <c r="V22" s="73">
        <v>1</v>
      </c>
    </row>
    <row r="23" spans="2:22" x14ac:dyDescent="0.25">
      <c r="B23" s="1">
        <v>20</v>
      </c>
      <c r="C23" s="1">
        <v>208</v>
      </c>
      <c r="D23" s="31">
        <v>150</v>
      </c>
      <c r="E23" s="34">
        <v>2260</v>
      </c>
      <c r="F23" s="34">
        <v>1030</v>
      </c>
      <c r="G23" s="34">
        <v>145</v>
      </c>
      <c r="H23" s="34">
        <v>2245</v>
      </c>
      <c r="I23" s="34">
        <v>895</v>
      </c>
      <c r="J23" s="34">
        <v>140</v>
      </c>
      <c r="K23" s="31">
        <v>2245</v>
      </c>
      <c r="L23" s="31">
        <v>895</v>
      </c>
      <c r="P23" s="73">
        <v>93</v>
      </c>
      <c r="Q23" s="73">
        <v>1012</v>
      </c>
      <c r="R23" s="73" t="s">
        <v>6</v>
      </c>
      <c r="S23" s="73">
        <v>130</v>
      </c>
      <c r="T23" s="73">
        <v>2230</v>
      </c>
      <c r="U23" s="73">
        <v>900</v>
      </c>
      <c r="V23" s="73">
        <v>1</v>
      </c>
    </row>
    <row r="24" spans="2:22" x14ac:dyDescent="0.25">
      <c r="B24" s="1">
        <v>21</v>
      </c>
      <c r="C24" s="1">
        <v>209</v>
      </c>
      <c r="D24" s="31">
        <v>150</v>
      </c>
      <c r="E24" s="34">
        <v>2255</v>
      </c>
      <c r="F24" s="34">
        <v>1030</v>
      </c>
      <c r="G24" s="34">
        <v>160</v>
      </c>
      <c r="H24" s="34">
        <v>2260</v>
      </c>
      <c r="I24" s="34">
        <v>900</v>
      </c>
      <c r="J24" s="34">
        <v>130</v>
      </c>
      <c r="K24" s="31">
        <v>2260</v>
      </c>
      <c r="L24" s="31">
        <v>895</v>
      </c>
      <c r="P24" s="73">
        <v>94</v>
      </c>
      <c r="Q24" s="73">
        <v>1109</v>
      </c>
      <c r="R24" s="73" t="s">
        <v>6</v>
      </c>
      <c r="S24" s="73">
        <v>120</v>
      </c>
      <c r="T24" s="73">
        <v>2250</v>
      </c>
      <c r="U24" s="73">
        <v>895</v>
      </c>
      <c r="V24" s="73">
        <v>1</v>
      </c>
    </row>
    <row r="25" spans="2:22" x14ac:dyDescent="0.25">
      <c r="B25" s="1">
        <v>22</v>
      </c>
      <c r="C25" s="1">
        <v>210</v>
      </c>
      <c r="D25" s="31">
        <v>150</v>
      </c>
      <c r="E25" s="34">
        <v>2265</v>
      </c>
      <c r="F25" s="34">
        <v>1025</v>
      </c>
      <c r="G25" s="34">
        <v>155</v>
      </c>
      <c r="H25" s="34">
        <v>2265</v>
      </c>
      <c r="I25" s="34">
        <v>900</v>
      </c>
      <c r="J25" s="34">
        <v>120</v>
      </c>
      <c r="K25" s="31">
        <v>2265</v>
      </c>
      <c r="L25" s="31">
        <v>895</v>
      </c>
      <c r="P25" s="73">
        <v>95</v>
      </c>
      <c r="Q25" s="73">
        <v>1309</v>
      </c>
      <c r="R25" s="73" t="s">
        <v>6</v>
      </c>
      <c r="S25" s="73">
        <v>120</v>
      </c>
      <c r="T25" s="73">
        <v>2260</v>
      </c>
      <c r="U25" s="73">
        <v>900</v>
      </c>
      <c r="V25" s="73">
        <v>1</v>
      </c>
    </row>
    <row r="26" spans="2:22" x14ac:dyDescent="0.25">
      <c r="B26" s="1">
        <v>23</v>
      </c>
      <c r="C26" s="1">
        <v>211</v>
      </c>
      <c r="D26" s="31">
        <v>155</v>
      </c>
      <c r="E26" s="34">
        <v>2250</v>
      </c>
      <c r="F26" s="34">
        <v>1025</v>
      </c>
      <c r="G26" s="34">
        <v>170</v>
      </c>
      <c r="H26" s="34">
        <v>2240</v>
      </c>
      <c r="I26" s="34">
        <v>900</v>
      </c>
      <c r="J26" s="34">
        <v>140</v>
      </c>
      <c r="K26" s="31">
        <v>2240</v>
      </c>
      <c r="L26" s="31">
        <v>885</v>
      </c>
    </row>
    <row r="27" spans="2:22" x14ac:dyDescent="0.25">
      <c r="B27" s="1">
        <v>24</v>
      </c>
      <c r="C27" s="1">
        <v>212</v>
      </c>
      <c r="D27" s="31">
        <v>155</v>
      </c>
      <c r="E27" s="34">
        <v>2240</v>
      </c>
      <c r="F27" s="34">
        <v>1030</v>
      </c>
      <c r="G27" s="34">
        <v>160</v>
      </c>
      <c r="H27" s="34">
        <v>2245</v>
      </c>
      <c r="I27" s="34">
        <v>900</v>
      </c>
      <c r="J27" s="34">
        <v>145</v>
      </c>
      <c r="K27" s="31">
        <v>2245</v>
      </c>
      <c r="L27" s="31">
        <v>880</v>
      </c>
    </row>
    <row r="28" spans="2:22" x14ac:dyDescent="0.25">
      <c r="B28" s="1">
        <v>25</v>
      </c>
      <c r="C28" s="1">
        <v>301</v>
      </c>
      <c r="D28" s="8">
        <v>158</v>
      </c>
      <c r="E28" s="36">
        <v>2260</v>
      </c>
      <c r="F28" s="36">
        <v>1020</v>
      </c>
      <c r="G28" s="36">
        <v>150</v>
      </c>
      <c r="H28" s="36">
        <v>2340</v>
      </c>
      <c r="I28" s="36">
        <v>890</v>
      </c>
      <c r="J28" s="36">
        <v>157</v>
      </c>
      <c r="K28" s="8">
        <v>2340</v>
      </c>
      <c r="L28" s="8">
        <v>890</v>
      </c>
    </row>
    <row r="29" spans="2:22" x14ac:dyDescent="0.25">
      <c r="B29" s="1">
        <v>26</v>
      </c>
      <c r="C29" s="1">
        <v>302</v>
      </c>
      <c r="D29" s="8">
        <v>156</v>
      </c>
      <c r="E29" s="36">
        <v>2242</v>
      </c>
      <c r="F29" s="36">
        <v>1026</v>
      </c>
      <c r="G29" s="36">
        <v>160</v>
      </c>
      <c r="H29" s="36">
        <v>2255</v>
      </c>
      <c r="I29" s="36">
        <v>895</v>
      </c>
      <c r="J29" s="36">
        <v>153</v>
      </c>
      <c r="K29" s="8">
        <v>2253</v>
      </c>
      <c r="L29" s="8">
        <v>893</v>
      </c>
    </row>
    <row r="30" spans="2:22" x14ac:dyDescent="0.25">
      <c r="B30" s="1">
        <v>27</v>
      </c>
      <c r="C30" s="1">
        <v>303</v>
      </c>
      <c r="D30" s="8">
        <v>150</v>
      </c>
      <c r="E30" s="36">
        <v>2255</v>
      </c>
      <c r="F30" s="36">
        <v>1032</v>
      </c>
      <c r="G30" s="36">
        <v>148</v>
      </c>
      <c r="H30" s="36">
        <v>2255</v>
      </c>
      <c r="I30" s="36">
        <v>877</v>
      </c>
      <c r="J30" s="36">
        <v>150</v>
      </c>
      <c r="K30" s="8">
        <v>2255</v>
      </c>
      <c r="L30" s="8">
        <v>875</v>
      </c>
    </row>
    <row r="31" spans="2:22" x14ac:dyDescent="0.25">
      <c r="B31" s="1">
        <v>28</v>
      </c>
      <c r="C31" s="1">
        <v>304</v>
      </c>
      <c r="D31" s="8">
        <v>154</v>
      </c>
      <c r="E31" s="36">
        <v>2245</v>
      </c>
      <c r="F31" s="36">
        <v>1025</v>
      </c>
      <c r="G31" s="36">
        <v>150</v>
      </c>
      <c r="H31" s="36">
        <v>2245</v>
      </c>
      <c r="I31" s="36">
        <v>880</v>
      </c>
      <c r="J31" s="36">
        <v>150</v>
      </c>
      <c r="K31" s="8">
        <v>2242</v>
      </c>
      <c r="L31" s="8">
        <v>886</v>
      </c>
    </row>
    <row r="32" spans="2:22" x14ac:dyDescent="0.25">
      <c r="B32" s="1">
        <v>29</v>
      </c>
      <c r="C32" s="1">
        <v>305</v>
      </c>
      <c r="D32" s="2">
        <v>1</v>
      </c>
      <c r="E32" s="38"/>
      <c r="F32" s="38"/>
      <c r="G32" s="36">
        <v>147</v>
      </c>
      <c r="H32" s="36">
        <v>2252</v>
      </c>
      <c r="I32" s="36">
        <v>875</v>
      </c>
      <c r="J32" s="36">
        <v>153</v>
      </c>
      <c r="K32" s="8">
        <v>2250</v>
      </c>
      <c r="L32" s="8">
        <v>871</v>
      </c>
    </row>
    <row r="33" spans="2:22" x14ac:dyDescent="0.25">
      <c r="B33" s="1">
        <v>30</v>
      </c>
      <c r="C33" s="1">
        <v>306</v>
      </c>
      <c r="D33" s="2">
        <v>1</v>
      </c>
      <c r="E33" s="38"/>
      <c r="F33" s="38"/>
      <c r="G33" s="38"/>
      <c r="H33" s="38"/>
      <c r="I33" s="38"/>
      <c r="J33" s="38"/>
      <c r="K33" s="37"/>
      <c r="L33" s="1"/>
    </row>
    <row r="34" spans="2:22" x14ac:dyDescent="0.25">
      <c r="B34" s="1">
        <v>31</v>
      </c>
      <c r="C34" s="1">
        <v>307</v>
      </c>
      <c r="D34" s="2">
        <v>1</v>
      </c>
      <c r="E34" s="38"/>
      <c r="F34" s="38"/>
      <c r="G34" s="38"/>
      <c r="H34" s="38"/>
      <c r="I34" s="38"/>
      <c r="J34" s="38"/>
      <c r="K34" s="37"/>
      <c r="L34" s="1"/>
    </row>
    <row r="35" spans="2:22" x14ac:dyDescent="0.25">
      <c r="B35" s="1">
        <v>32</v>
      </c>
      <c r="C35" s="1">
        <v>308</v>
      </c>
      <c r="D35" s="8">
        <v>155</v>
      </c>
      <c r="E35" s="36">
        <v>2230</v>
      </c>
      <c r="F35" s="36">
        <v>1045</v>
      </c>
      <c r="G35" s="36">
        <v>142</v>
      </c>
      <c r="H35" s="36">
        <v>2220</v>
      </c>
      <c r="I35" s="36">
        <v>905</v>
      </c>
      <c r="J35" s="36">
        <v>152</v>
      </c>
      <c r="K35" s="8">
        <v>2222</v>
      </c>
      <c r="L35" s="8">
        <v>903</v>
      </c>
    </row>
    <row r="36" spans="2:22" x14ac:dyDescent="0.25">
      <c r="B36" s="1">
        <v>33</v>
      </c>
      <c r="C36" s="1">
        <v>309</v>
      </c>
      <c r="D36" s="8">
        <v>156</v>
      </c>
      <c r="E36" s="36">
        <v>2240</v>
      </c>
      <c r="F36" s="36">
        <v>1040</v>
      </c>
      <c r="G36" s="36">
        <v>153</v>
      </c>
      <c r="H36" s="36">
        <v>2225</v>
      </c>
      <c r="I36" s="36">
        <v>905</v>
      </c>
      <c r="J36" s="36">
        <v>155</v>
      </c>
      <c r="K36" s="8">
        <v>2230</v>
      </c>
      <c r="L36" s="8">
        <v>905</v>
      </c>
    </row>
    <row r="37" spans="2:22" x14ac:dyDescent="0.25">
      <c r="B37" s="1">
        <v>34</v>
      </c>
      <c r="C37" s="1">
        <v>310</v>
      </c>
      <c r="D37" s="8">
        <v>160</v>
      </c>
      <c r="E37" s="36">
        <v>2240</v>
      </c>
      <c r="F37" s="36">
        <v>1050</v>
      </c>
      <c r="G37" s="36">
        <v>156</v>
      </c>
      <c r="H37" s="36">
        <v>2235</v>
      </c>
      <c r="I37" s="36">
        <v>870</v>
      </c>
      <c r="J37" s="36">
        <v>154</v>
      </c>
      <c r="K37" s="8">
        <v>2238</v>
      </c>
      <c r="L37" s="8">
        <v>867</v>
      </c>
    </row>
    <row r="38" spans="2:22" x14ac:dyDescent="0.25">
      <c r="B38" s="1">
        <v>35</v>
      </c>
      <c r="C38" s="1">
        <v>311</v>
      </c>
      <c r="D38" s="8">
        <v>151</v>
      </c>
      <c r="E38" s="36">
        <v>2250</v>
      </c>
      <c r="F38" s="36">
        <v>1040</v>
      </c>
      <c r="G38" s="36">
        <v>151</v>
      </c>
      <c r="H38" s="36">
        <v>2245</v>
      </c>
      <c r="I38" s="36">
        <v>895</v>
      </c>
      <c r="J38" s="36">
        <v>107</v>
      </c>
      <c r="K38" s="8">
        <v>2250</v>
      </c>
      <c r="L38" s="8">
        <v>900</v>
      </c>
      <c r="V38">
        <v>3611</v>
      </c>
    </row>
    <row r="39" spans="2:22" x14ac:dyDescent="0.25">
      <c r="B39" s="1">
        <v>36</v>
      </c>
      <c r="C39" s="1">
        <v>312</v>
      </c>
      <c r="D39" s="8">
        <v>158</v>
      </c>
      <c r="E39" s="36">
        <v>2240</v>
      </c>
      <c r="F39" s="36">
        <v>1038</v>
      </c>
      <c r="G39" s="52">
        <v>145</v>
      </c>
      <c r="H39" s="52">
        <v>2240</v>
      </c>
      <c r="I39" s="52">
        <v>900</v>
      </c>
      <c r="J39" s="52">
        <v>115</v>
      </c>
      <c r="K39" s="52">
        <v>2240</v>
      </c>
      <c r="L39" s="52">
        <v>900</v>
      </c>
      <c r="V39">
        <v>14634</v>
      </c>
    </row>
    <row r="40" spans="2:22" x14ac:dyDescent="0.25">
      <c r="B40" s="1">
        <v>37</v>
      </c>
      <c r="C40" s="1">
        <v>401</v>
      </c>
      <c r="D40" s="8">
        <v>160</v>
      </c>
      <c r="E40" s="36">
        <v>2250</v>
      </c>
      <c r="F40" s="36">
        <v>1025</v>
      </c>
      <c r="G40" s="36">
        <v>149</v>
      </c>
      <c r="H40" s="36">
        <v>2230</v>
      </c>
      <c r="I40" s="36">
        <v>878</v>
      </c>
      <c r="J40" s="36">
        <v>155</v>
      </c>
      <c r="K40" s="8">
        <v>2230</v>
      </c>
      <c r="L40" s="8">
        <v>880</v>
      </c>
    </row>
    <row r="41" spans="2:22" x14ac:dyDescent="0.25">
      <c r="B41" s="1">
        <v>38</v>
      </c>
      <c r="C41" s="1">
        <v>402</v>
      </c>
      <c r="D41" s="8">
        <v>152</v>
      </c>
      <c r="E41" s="36">
        <v>2242</v>
      </c>
      <c r="F41" s="36">
        <v>1013</v>
      </c>
      <c r="G41" s="36">
        <v>154</v>
      </c>
      <c r="H41" s="36">
        <v>2235</v>
      </c>
      <c r="I41" s="36">
        <v>885</v>
      </c>
      <c r="J41" s="36">
        <v>150</v>
      </c>
      <c r="K41" s="8">
        <v>2240</v>
      </c>
      <c r="L41" s="8">
        <v>888</v>
      </c>
    </row>
    <row r="42" spans="2:22" x14ac:dyDescent="0.25">
      <c r="B42" s="1">
        <v>39</v>
      </c>
      <c r="C42" s="1">
        <v>403</v>
      </c>
      <c r="D42" s="8">
        <v>158</v>
      </c>
      <c r="E42" s="36">
        <v>2250</v>
      </c>
      <c r="F42" s="36">
        <v>1026</v>
      </c>
      <c r="G42" s="36">
        <v>144</v>
      </c>
      <c r="H42" s="36">
        <v>2226</v>
      </c>
      <c r="I42" s="36">
        <v>870</v>
      </c>
      <c r="J42" s="36">
        <v>148</v>
      </c>
      <c r="K42" s="8">
        <v>2225</v>
      </c>
      <c r="L42" s="8">
        <v>872</v>
      </c>
    </row>
    <row r="43" spans="2:22" x14ac:dyDescent="0.25">
      <c r="B43" s="1">
        <v>40</v>
      </c>
      <c r="C43" s="1">
        <v>404</v>
      </c>
      <c r="D43" s="8">
        <v>153</v>
      </c>
      <c r="E43" s="36">
        <v>2245</v>
      </c>
      <c r="F43" s="36">
        <v>1025</v>
      </c>
      <c r="G43" s="36">
        <v>145</v>
      </c>
      <c r="H43" s="36">
        <v>2238</v>
      </c>
      <c r="I43" s="36">
        <v>875</v>
      </c>
      <c r="J43" s="36">
        <v>152</v>
      </c>
      <c r="K43" s="8">
        <v>2235</v>
      </c>
      <c r="L43" s="8">
        <v>875</v>
      </c>
    </row>
    <row r="44" spans="2:22" x14ac:dyDescent="0.25">
      <c r="B44" s="1">
        <v>41</v>
      </c>
      <c r="C44" s="1">
        <v>405</v>
      </c>
      <c r="D44" s="8">
        <v>155</v>
      </c>
      <c r="E44" s="36">
        <v>2220</v>
      </c>
      <c r="F44" s="36">
        <v>1015</v>
      </c>
      <c r="G44" s="36">
        <v>158</v>
      </c>
      <c r="H44" s="36">
        <v>2235</v>
      </c>
      <c r="I44" s="36">
        <v>880</v>
      </c>
      <c r="J44" s="36">
        <v>145</v>
      </c>
      <c r="K44" s="8">
        <v>2235</v>
      </c>
      <c r="L44" s="8">
        <v>884</v>
      </c>
    </row>
    <row r="45" spans="2:22" x14ac:dyDescent="0.25">
      <c r="B45" s="1">
        <v>42</v>
      </c>
      <c r="C45" s="1">
        <v>406</v>
      </c>
      <c r="D45" s="8">
        <v>249</v>
      </c>
      <c r="E45" s="36">
        <v>2245</v>
      </c>
      <c r="F45" s="36">
        <v>1025</v>
      </c>
      <c r="G45" s="36">
        <v>145</v>
      </c>
      <c r="H45" s="36">
        <v>2245</v>
      </c>
      <c r="I45" s="36">
        <v>897</v>
      </c>
      <c r="J45" s="36">
        <v>153</v>
      </c>
      <c r="K45" s="8">
        <v>2245</v>
      </c>
      <c r="L45" s="8">
        <v>895</v>
      </c>
    </row>
    <row r="46" spans="2:22" x14ac:dyDescent="0.25">
      <c r="B46" s="1">
        <v>43</v>
      </c>
      <c r="C46" s="1">
        <v>407</v>
      </c>
      <c r="D46" s="8">
        <v>148</v>
      </c>
      <c r="E46" s="36">
        <v>2250</v>
      </c>
      <c r="F46" s="36">
        <v>1043</v>
      </c>
      <c r="G46" s="36">
        <v>178</v>
      </c>
      <c r="H46" s="36">
        <v>2250</v>
      </c>
      <c r="I46" s="36">
        <v>900</v>
      </c>
      <c r="J46" s="36">
        <v>148</v>
      </c>
      <c r="K46" s="8">
        <v>2245</v>
      </c>
      <c r="L46" s="8">
        <v>900</v>
      </c>
    </row>
    <row r="47" spans="2:22" x14ac:dyDescent="0.25">
      <c r="B47" s="1">
        <v>44</v>
      </c>
      <c r="C47" s="1">
        <v>408</v>
      </c>
      <c r="D47" s="8">
        <v>177</v>
      </c>
      <c r="E47" s="36">
        <v>2260</v>
      </c>
      <c r="F47" s="36">
        <v>1040</v>
      </c>
      <c r="G47" s="36">
        <v>151</v>
      </c>
      <c r="H47" s="36">
        <v>2260</v>
      </c>
      <c r="I47" s="36">
        <v>900</v>
      </c>
      <c r="J47" s="36">
        <v>160</v>
      </c>
      <c r="K47" s="8">
        <v>2260</v>
      </c>
      <c r="L47" s="8">
        <v>895</v>
      </c>
    </row>
    <row r="48" spans="2:22" x14ac:dyDescent="0.25">
      <c r="B48" s="1">
        <v>45</v>
      </c>
      <c r="C48" s="1">
        <v>409</v>
      </c>
      <c r="D48" s="8">
        <v>156</v>
      </c>
      <c r="E48" s="36">
        <v>2255</v>
      </c>
      <c r="F48" s="36">
        <v>1030</v>
      </c>
      <c r="G48" s="36">
        <v>158</v>
      </c>
      <c r="H48" s="36">
        <v>2250</v>
      </c>
      <c r="I48" s="36">
        <v>900</v>
      </c>
      <c r="J48" s="36">
        <v>152</v>
      </c>
      <c r="K48" s="8">
        <v>2245</v>
      </c>
      <c r="L48" s="8">
        <v>900</v>
      </c>
    </row>
    <row r="49" spans="2:12" x14ac:dyDescent="0.25">
      <c r="B49" s="1">
        <v>46</v>
      </c>
      <c r="C49" s="1">
        <v>410</v>
      </c>
      <c r="D49" s="8">
        <v>165</v>
      </c>
      <c r="E49" s="36">
        <v>2272</v>
      </c>
      <c r="F49" s="36">
        <v>1025</v>
      </c>
      <c r="G49" s="36">
        <v>165</v>
      </c>
      <c r="H49" s="36">
        <v>2245</v>
      </c>
      <c r="I49" s="36">
        <v>880</v>
      </c>
      <c r="J49" s="36">
        <v>153</v>
      </c>
      <c r="K49" s="8">
        <v>2250</v>
      </c>
      <c r="L49" s="8">
        <v>880</v>
      </c>
    </row>
    <row r="50" spans="2:12" x14ac:dyDescent="0.25">
      <c r="B50" s="1">
        <v>47</v>
      </c>
      <c r="C50" s="1">
        <v>411</v>
      </c>
      <c r="D50" s="8">
        <v>142</v>
      </c>
      <c r="E50" s="36">
        <v>2240</v>
      </c>
      <c r="F50" s="36">
        <v>1028</v>
      </c>
      <c r="G50" s="36">
        <v>117</v>
      </c>
      <c r="H50" s="36">
        <v>2235</v>
      </c>
      <c r="I50" s="36">
        <v>898</v>
      </c>
      <c r="J50" s="36">
        <v>142</v>
      </c>
      <c r="K50" s="8">
        <v>2240</v>
      </c>
      <c r="L50" s="8">
        <v>900</v>
      </c>
    </row>
    <row r="51" spans="2:12" x14ac:dyDescent="0.25">
      <c r="B51" s="1">
        <v>48</v>
      </c>
      <c r="C51" s="1">
        <v>412</v>
      </c>
      <c r="D51" s="8">
        <v>151</v>
      </c>
      <c r="E51" s="36">
        <v>2245</v>
      </c>
      <c r="F51" s="36">
        <v>1025</v>
      </c>
      <c r="G51" s="36">
        <v>108</v>
      </c>
      <c r="H51" s="36">
        <v>2255</v>
      </c>
      <c r="I51" s="36">
        <v>900</v>
      </c>
      <c r="J51" s="36">
        <v>148</v>
      </c>
      <c r="K51" s="8">
        <v>2255</v>
      </c>
      <c r="L51" s="8">
        <v>900</v>
      </c>
    </row>
    <row r="52" spans="2:12" x14ac:dyDescent="0.25">
      <c r="B52" s="1">
        <v>49</v>
      </c>
      <c r="C52" s="1">
        <v>501</v>
      </c>
      <c r="D52" s="8">
        <v>150</v>
      </c>
      <c r="E52" s="36">
        <v>2245</v>
      </c>
      <c r="F52" s="36">
        <v>1025</v>
      </c>
      <c r="G52" s="36">
        <v>156</v>
      </c>
      <c r="H52" s="36">
        <v>2255</v>
      </c>
      <c r="I52" s="36">
        <v>895</v>
      </c>
      <c r="J52" s="36">
        <v>146</v>
      </c>
      <c r="K52" s="8">
        <v>2260</v>
      </c>
      <c r="L52" s="8">
        <v>896</v>
      </c>
    </row>
    <row r="53" spans="2:12" x14ac:dyDescent="0.25">
      <c r="B53" s="1">
        <v>50</v>
      </c>
      <c r="C53" s="1">
        <v>502</v>
      </c>
      <c r="D53" s="8">
        <v>153</v>
      </c>
      <c r="E53" s="36">
        <v>2245</v>
      </c>
      <c r="F53" s="36">
        <v>1015</v>
      </c>
      <c r="G53" s="36">
        <v>162</v>
      </c>
      <c r="H53" s="36">
        <v>2230</v>
      </c>
      <c r="I53" s="36">
        <v>900</v>
      </c>
      <c r="J53" s="36">
        <v>151</v>
      </c>
      <c r="K53" s="8">
        <v>2235</v>
      </c>
      <c r="L53" s="8">
        <v>900</v>
      </c>
    </row>
    <row r="54" spans="2:12" x14ac:dyDescent="0.25">
      <c r="B54" s="1">
        <v>51</v>
      </c>
      <c r="C54" s="1">
        <v>503</v>
      </c>
      <c r="D54" s="8">
        <v>154</v>
      </c>
      <c r="E54" s="36">
        <v>2255</v>
      </c>
      <c r="F54" s="36">
        <v>1017</v>
      </c>
      <c r="G54" s="36">
        <v>147</v>
      </c>
      <c r="H54" s="36">
        <v>2235</v>
      </c>
      <c r="I54" s="36">
        <v>898</v>
      </c>
      <c r="J54" s="36">
        <v>150</v>
      </c>
      <c r="K54" s="8">
        <v>2235</v>
      </c>
      <c r="L54" s="8">
        <v>895</v>
      </c>
    </row>
    <row r="55" spans="2:12" x14ac:dyDescent="0.25">
      <c r="B55" s="1">
        <v>52</v>
      </c>
      <c r="C55" s="1">
        <v>504</v>
      </c>
      <c r="D55" s="8">
        <v>155</v>
      </c>
      <c r="E55" s="36">
        <v>2245</v>
      </c>
      <c r="F55" s="36">
        <v>1020</v>
      </c>
      <c r="G55" s="36">
        <v>148</v>
      </c>
      <c r="H55" s="36">
        <v>2250</v>
      </c>
      <c r="I55" s="36">
        <v>900</v>
      </c>
      <c r="J55" s="36">
        <v>141</v>
      </c>
      <c r="K55" s="8">
        <v>2250</v>
      </c>
      <c r="L55" s="8">
        <v>898</v>
      </c>
    </row>
    <row r="56" spans="2:12" x14ac:dyDescent="0.25">
      <c r="B56" s="1">
        <v>53</v>
      </c>
      <c r="C56" s="1">
        <v>505</v>
      </c>
      <c r="D56" s="8">
        <v>140</v>
      </c>
      <c r="E56" s="36">
        <v>2230</v>
      </c>
      <c r="F56" s="36">
        <v>1035</v>
      </c>
      <c r="G56" s="36">
        <v>152</v>
      </c>
      <c r="H56" s="36">
        <v>2240</v>
      </c>
      <c r="I56" s="36">
        <v>885</v>
      </c>
      <c r="J56" s="36">
        <v>164</v>
      </c>
      <c r="K56" s="8">
        <v>2235</v>
      </c>
      <c r="L56" s="8">
        <v>885</v>
      </c>
    </row>
    <row r="57" spans="2:12" x14ac:dyDescent="0.25">
      <c r="B57" s="1">
        <v>54</v>
      </c>
      <c r="C57" s="1">
        <v>506</v>
      </c>
      <c r="D57" s="8">
        <v>235</v>
      </c>
      <c r="E57" s="36">
        <v>2240</v>
      </c>
      <c r="F57" s="36">
        <v>1012</v>
      </c>
      <c r="G57" s="36">
        <v>183</v>
      </c>
      <c r="H57" s="36">
        <v>2205</v>
      </c>
      <c r="I57" s="36">
        <v>900</v>
      </c>
      <c r="J57" s="52">
        <v>145</v>
      </c>
      <c r="K57" s="52">
        <v>2205</v>
      </c>
      <c r="L57" s="52">
        <v>870</v>
      </c>
    </row>
    <row r="58" spans="2:12" x14ac:dyDescent="0.25">
      <c r="B58" s="1">
        <v>55</v>
      </c>
      <c r="C58" s="1">
        <v>507</v>
      </c>
      <c r="D58" s="8">
        <v>145</v>
      </c>
      <c r="E58" s="36">
        <v>2230</v>
      </c>
      <c r="F58" s="36">
        <v>1060</v>
      </c>
      <c r="G58" s="36">
        <v>186</v>
      </c>
      <c r="H58" s="36">
        <v>2230</v>
      </c>
      <c r="I58" s="36">
        <v>900</v>
      </c>
      <c r="J58" s="36">
        <v>150</v>
      </c>
      <c r="K58" s="8">
        <v>2230</v>
      </c>
      <c r="L58" s="8">
        <v>900</v>
      </c>
    </row>
    <row r="59" spans="2:12" x14ac:dyDescent="0.25">
      <c r="B59" s="1">
        <v>56</v>
      </c>
      <c r="C59" s="1">
        <v>508</v>
      </c>
      <c r="D59" s="52">
        <v>150</v>
      </c>
      <c r="E59" s="52">
        <v>2240</v>
      </c>
      <c r="F59" s="52">
        <v>1040</v>
      </c>
      <c r="G59" s="36">
        <v>156</v>
      </c>
      <c r="H59" s="36">
        <v>2245</v>
      </c>
      <c r="I59" s="36">
        <v>895</v>
      </c>
      <c r="J59" s="36">
        <v>143</v>
      </c>
      <c r="K59" s="8">
        <v>2245</v>
      </c>
      <c r="L59" s="8">
        <v>898</v>
      </c>
    </row>
    <row r="60" spans="2:12" x14ac:dyDescent="0.25">
      <c r="B60" s="1">
        <v>57</v>
      </c>
      <c r="C60" s="1">
        <v>509</v>
      </c>
      <c r="D60" s="8">
        <v>155</v>
      </c>
      <c r="E60" s="36">
        <v>2230</v>
      </c>
      <c r="F60" s="36">
        <v>1027</v>
      </c>
      <c r="G60" s="36">
        <v>150</v>
      </c>
      <c r="H60" s="36">
        <v>2235</v>
      </c>
      <c r="I60" s="36">
        <v>897</v>
      </c>
      <c r="J60" s="36">
        <v>148</v>
      </c>
      <c r="K60" s="8">
        <v>2235</v>
      </c>
      <c r="L60" s="8">
        <v>900</v>
      </c>
    </row>
    <row r="61" spans="2:12" x14ac:dyDescent="0.25">
      <c r="B61" s="1">
        <v>58</v>
      </c>
      <c r="C61" s="1">
        <v>510</v>
      </c>
      <c r="D61" s="8">
        <v>152</v>
      </c>
      <c r="E61" s="36">
        <v>2235</v>
      </c>
      <c r="F61" s="36">
        <v>1027</v>
      </c>
      <c r="G61" s="36">
        <v>163</v>
      </c>
      <c r="H61" s="36">
        <v>2240</v>
      </c>
      <c r="I61" s="36">
        <v>897</v>
      </c>
      <c r="J61" s="36">
        <v>142</v>
      </c>
      <c r="K61" s="8">
        <v>2240</v>
      </c>
      <c r="L61" s="8">
        <v>900</v>
      </c>
    </row>
    <row r="62" spans="2:12" x14ac:dyDescent="0.25">
      <c r="B62" s="1">
        <v>59</v>
      </c>
      <c r="C62" s="1">
        <v>511</v>
      </c>
      <c r="D62" s="8">
        <v>160</v>
      </c>
      <c r="E62" s="36">
        <v>2230</v>
      </c>
      <c r="F62" s="36">
        <v>1030</v>
      </c>
      <c r="G62" s="36">
        <v>145</v>
      </c>
      <c r="H62" s="36">
        <v>2230</v>
      </c>
      <c r="I62" s="36">
        <v>895</v>
      </c>
      <c r="J62" s="36">
        <v>110</v>
      </c>
      <c r="K62" s="8">
        <v>2240</v>
      </c>
      <c r="L62" s="8">
        <v>898</v>
      </c>
    </row>
    <row r="63" spans="2:12" x14ac:dyDescent="0.25">
      <c r="B63" s="1">
        <v>60</v>
      </c>
      <c r="C63" s="1">
        <v>512</v>
      </c>
      <c r="D63" s="8">
        <v>150</v>
      </c>
      <c r="E63" s="36">
        <v>2235</v>
      </c>
      <c r="F63" s="36">
        <v>1030</v>
      </c>
      <c r="G63" s="36">
        <v>109</v>
      </c>
      <c r="H63" s="36">
        <v>2230</v>
      </c>
      <c r="I63" s="36">
        <v>900</v>
      </c>
      <c r="J63" s="36">
        <v>148</v>
      </c>
      <c r="K63" s="8">
        <v>2235</v>
      </c>
      <c r="L63" s="8">
        <v>896</v>
      </c>
    </row>
    <row r="64" spans="2:12" x14ac:dyDescent="0.25">
      <c r="B64" s="1">
        <v>61</v>
      </c>
      <c r="C64" s="1">
        <v>601</v>
      </c>
      <c r="D64" s="8">
        <v>161</v>
      </c>
      <c r="E64" s="36">
        <v>2230</v>
      </c>
      <c r="F64" s="36">
        <v>1027</v>
      </c>
      <c r="G64" s="36">
        <v>158</v>
      </c>
      <c r="H64" s="36">
        <v>2235</v>
      </c>
      <c r="I64" s="36">
        <v>895</v>
      </c>
      <c r="J64" s="36">
        <v>150</v>
      </c>
      <c r="K64" s="8">
        <v>2235</v>
      </c>
      <c r="L64" s="8">
        <v>900</v>
      </c>
    </row>
    <row r="65" spans="2:12" x14ac:dyDescent="0.25">
      <c r="B65" s="1">
        <v>62</v>
      </c>
      <c r="C65" s="1">
        <v>602</v>
      </c>
      <c r="D65" s="8">
        <v>152</v>
      </c>
      <c r="E65" s="36">
        <v>2230</v>
      </c>
      <c r="F65" s="36">
        <v>1027</v>
      </c>
      <c r="G65" s="52">
        <v>145</v>
      </c>
      <c r="H65" s="52">
        <v>2245</v>
      </c>
      <c r="I65" s="52">
        <v>900</v>
      </c>
      <c r="J65" s="36">
        <v>152</v>
      </c>
      <c r="K65" s="8">
        <v>2230</v>
      </c>
      <c r="L65" s="8">
        <v>885</v>
      </c>
    </row>
    <row r="66" spans="2:12" x14ac:dyDescent="0.25">
      <c r="B66" s="1">
        <v>63</v>
      </c>
      <c r="C66" s="1">
        <v>603</v>
      </c>
      <c r="D66" s="8">
        <v>156</v>
      </c>
      <c r="E66" s="36">
        <v>2240</v>
      </c>
      <c r="F66" s="36">
        <v>1020</v>
      </c>
      <c r="G66" s="36">
        <v>151</v>
      </c>
      <c r="H66" s="36">
        <v>2245</v>
      </c>
      <c r="I66" s="36">
        <v>885</v>
      </c>
      <c r="J66" s="36">
        <v>154</v>
      </c>
      <c r="K66" s="8">
        <v>2245</v>
      </c>
      <c r="L66" s="8">
        <v>885</v>
      </c>
    </row>
    <row r="67" spans="2:12" x14ac:dyDescent="0.25">
      <c r="B67" s="1">
        <v>64</v>
      </c>
      <c r="C67" s="1">
        <v>604</v>
      </c>
      <c r="D67" s="8">
        <v>158</v>
      </c>
      <c r="E67" s="36">
        <v>2230</v>
      </c>
      <c r="F67" s="36">
        <v>1040</v>
      </c>
      <c r="G67" s="36">
        <v>135</v>
      </c>
      <c r="H67" s="36">
        <v>2230</v>
      </c>
      <c r="I67" s="36">
        <v>892</v>
      </c>
      <c r="J67" s="36">
        <v>140</v>
      </c>
      <c r="K67" s="8">
        <v>2230</v>
      </c>
      <c r="L67" s="8">
        <v>895</v>
      </c>
    </row>
    <row r="68" spans="2:12" x14ac:dyDescent="0.25">
      <c r="B68" s="1">
        <v>65</v>
      </c>
      <c r="C68" s="1">
        <v>605</v>
      </c>
      <c r="D68" s="8">
        <v>150</v>
      </c>
      <c r="E68" s="36">
        <v>2235</v>
      </c>
      <c r="F68" s="36">
        <v>1032</v>
      </c>
      <c r="G68" s="36">
        <v>154</v>
      </c>
      <c r="H68" s="36">
        <v>2245</v>
      </c>
      <c r="I68" s="36">
        <v>900</v>
      </c>
      <c r="J68" s="36">
        <v>150</v>
      </c>
      <c r="K68" s="8">
        <v>2245</v>
      </c>
      <c r="L68" s="8">
        <v>895</v>
      </c>
    </row>
    <row r="69" spans="2:12" x14ac:dyDescent="0.25">
      <c r="B69" s="1">
        <v>66</v>
      </c>
      <c r="C69" s="1">
        <v>606</v>
      </c>
      <c r="D69" s="8">
        <v>240</v>
      </c>
      <c r="E69" s="36">
        <v>2230</v>
      </c>
      <c r="F69" s="36">
        <v>1012</v>
      </c>
      <c r="G69" s="36">
        <v>158</v>
      </c>
      <c r="H69" s="36">
        <v>2220</v>
      </c>
      <c r="I69" s="36">
        <v>890</v>
      </c>
      <c r="J69" s="36">
        <v>151</v>
      </c>
      <c r="K69" s="8">
        <v>2225</v>
      </c>
      <c r="L69" s="8">
        <v>890</v>
      </c>
    </row>
    <row r="70" spans="2:12" x14ac:dyDescent="0.25">
      <c r="B70" s="1">
        <v>67</v>
      </c>
      <c r="C70" s="1">
        <v>607</v>
      </c>
      <c r="D70" s="8">
        <v>150</v>
      </c>
      <c r="E70" s="36">
        <v>2235</v>
      </c>
      <c r="F70" s="36">
        <v>1026</v>
      </c>
      <c r="G70" s="52">
        <v>170</v>
      </c>
      <c r="H70" s="52">
        <v>2240</v>
      </c>
      <c r="I70" s="52">
        <v>850</v>
      </c>
      <c r="J70" s="36">
        <v>162</v>
      </c>
      <c r="K70" s="8">
        <v>2240</v>
      </c>
      <c r="L70" s="8">
        <v>900</v>
      </c>
    </row>
    <row r="71" spans="2:12" x14ac:dyDescent="0.25">
      <c r="B71" s="1">
        <v>68</v>
      </c>
      <c r="C71" s="1">
        <v>608</v>
      </c>
      <c r="D71" s="8">
        <v>153</v>
      </c>
      <c r="E71" s="36">
        <v>2225</v>
      </c>
      <c r="F71" s="36">
        <v>1020</v>
      </c>
      <c r="G71" s="36">
        <v>152</v>
      </c>
      <c r="H71" s="36">
        <v>2235</v>
      </c>
      <c r="I71" s="36">
        <v>900</v>
      </c>
      <c r="J71" s="36">
        <v>158</v>
      </c>
      <c r="K71" s="8">
        <v>2235</v>
      </c>
      <c r="L71" s="8">
        <v>900</v>
      </c>
    </row>
    <row r="72" spans="2:12" x14ac:dyDescent="0.25">
      <c r="B72" s="1">
        <v>69</v>
      </c>
      <c r="C72" s="1">
        <v>609</v>
      </c>
      <c r="D72" s="8">
        <v>161</v>
      </c>
      <c r="E72" s="36">
        <v>2235</v>
      </c>
      <c r="F72" s="36">
        <v>1025</v>
      </c>
      <c r="G72" s="36">
        <v>153</v>
      </c>
      <c r="H72" s="36">
        <v>2230</v>
      </c>
      <c r="I72" s="36">
        <v>897</v>
      </c>
      <c r="J72" s="36">
        <v>150</v>
      </c>
      <c r="K72" s="8">
        <v>2225</v>
      </c>
      <c r="L72" s="8">
        <v>895</v>
      </c>
    </row>
    <row r="73" spans="2:12" x14ac:dyDescent="0.25">
      <c r="B73" s="1">
        <v>70</v>
      </c>
      <c r="C73" s="1">
        <v>610</v>
      </c>
      <c r="D73" s="8">
        <v>160</v>
      </c>
      <c r="E73" s="36">
        <v>2245</v>
      </c>
      <c r="F73" s="36">
        <v>1030</v>
      </c>
      <c r="G73" s="36">
        <v>165</v>
      </c>
      <c r="H73" s="36">
        <v>2240</v>
      </c>
      <c r="I73" s="36">
        <v>895</v>
      </c>
      <c r="J73" s="36">
        <v>147</v>
      </c>
      <c r="K73" s="8">
        <v>2245</v>
      </c>
      <c r="L73" s="8">
        <v>895</v>
      </c>
    </row>
    <row r="74" spans="2:12" x14ac:dyDescent="0.25">
      <c r="B74" s="1">
        <v>71</v>
      </c>
      <c r="C74" s="1">
        <v>611</v>
      </c>
      <c r="D74" s="8">
        <v>165</v>
      </c>
      <c r="E74" s="36">
        <v>2230</v>
      </c>
      <c r="F74" s="36">
        <v>1027</v>
      </c>
      <c r="G74" s="36">
        <v>153</v>
      </c>
      <c r="H74" s="36">
        <v>2235</v>
      </c>
      <c r="I74" s="36">
        <v>900</v>
      </c>
      <c r="J74" s="36">
        <v>108</v>
      </c>
      <c r="K74" s="8">
        <v>2235</v>
      </c>
      <c r="L74" s="8">
        <v>897</v>
      </c>
    </row>
    <row r="75" spans="2:12" x14ac:dyDescent="0.25">
      <c r="B75" s="1">
        <v>72</v>
      </c>
      <c r="C75" s="1">
        <v>612</v>
      </c>
      <c r="D75" s="8">
        <v>168</v>
      </c>
      <c r="E75" s="36">
        <v>2245</v>
      </c>
      <c r="F75" s="36">
        <v>1035</v>
      </c>
      <c r="G75" s="36">
        <v>158</v>
      </c>
      <c r="H75" s="36">
        <v>2240</v>
      </c>
      <c r="I75" s="36">
        <v>897</v>
      </c>
      <c r="J75" s="36">
        <v>114</v>
      </c>
      <c r="K75" s="8">
        <v>2245</v>
      </c>
      <c r="L75" s="8">
        <v>895</v>
      </c>
    </row>
    <row r="76" spans="2:12" x14ac:dyDescent="0.25">
      <c r="B76" s="1">
        <v>73</v>
      </c>
      <c r="C76" s="1">
        <v>701</v>
      </c>
      <c r="D76" s="8">
        <v>152</v>
      </c>
      <c r="E76" s="36">
        <v>2215</v>
      </c>
      <c r="F76" s="36">
        <v>1031</v>
      </c>
      <c r="G76" s="36">
        <v>151</v>
      </c>
      <c r="H76" s="36">
        <v>2215</v>
      </c>
      <c r="I76" s="36">
        <v>897</v>
      </c>
      <c r="J76" s="36">
        <v>140</v>
      </c>
      <c r="K76" s="8">
        <v>2215</v>
      </c>
      <c r="L76" s="8">
        <v>895</v>
      </c>
    </row>
    <row r="77" spans="2:12" x14ac:dyDescent="0.25">
      <c r="B77" s="1">
        <v>74</v>
      </c>
      <c r="C77" s="1">
        <v>702</v>
      </c>
      <c r="D77" s="8">
        <v>157</v>
      </c>
      <c r="E77" s="36">
        <v>2210</v>
      </c>
      <c r="F77" s="36">
        <v>1040</v>
      </c>
      <c r="G77" s="36">
        <v>149</v>
      </c>
      <c r="H77" s="36">
        <v>2230</v>
      </c>
      <c r="I77" s="36">
        <v>897</v>
      </c>
      <c r="J77" s="36">
        <v>145</v>
      </c>
      <c r="K77" s="8">
        <v>2230</v>
      </c>
      <c r="L77" s="8">
        <v>900</v>
      </c>
    </row>
    <row r="78" spans="2:12" x14ac:dyDescent="0.25">
      <c r="B78" s="1">
        <v>75</v>
      </c>
      <c r="C78" s="1">
        <v>703</v>
      </c>
      <c r="D78" s="8">
        <v>149</v>
      </c>
      <c r="E78" s="36">
        <v>2230</v>
      </c>
      <c r="F78" s="36">
        <v>1025</v>
      </c>
      <c r="G78" s="36">
        <v>147</v>
      </c>
      <c r="H78" s="36">
        <v>2230</v>
      </c>
      <c r="I78" s="36">
        <v>886</v>
      </c>
      <c r="J78" s="36">
        <v>149</v>
      </c>
      <c r="K78" s="8">
        <v>2210</v>
      </c>
      <c r="L78" s="8">
        <v>880</v>
      </c>
    </row>
    <row r="79" spans="2:12" x14ac:dyDescent="0.25">
      <c r="B79" s="1">
        <v>76</v>
      </c>
      <c r="C79" s="1">
        <v>704</v>
      </c>
      <c r="D79" s="8">
        <v>150</v>
      </c>
      <c r="E79" s="36">
        <v>2235</v>
      </c>
      <c r="F79" s="36">
        <v>1030</v>
      </c>
      <c r="G79" s="36">
        <v>155</v>
      </c>
      <c r="H79" s="36">
        <v>2245</v>
      </c>
      <c r="I79" s="36">
        <v>885</v>
      </c>
      <c r="J79" s="36">
        <v>142</v>
      </c>
      <c r="K79" s="8">
        <v>2245</v>
      </c>
      <c r="L79" s="8">
        <v>888</v>
      </c>
    </row>
    <row r="80" spans="2:12" x14ac:dyDescent="0.25">
      <c r="B80" s="1">
        <v>77</v>
      </c>
      <c r="C80" s="1">
        <v>705</v>
      </c>
      <c r="D80" s="8">
        <v>160</v>
      </c>
      <c r="E80" s="36">
        <v>2210</v>
      </c>
      <c r="F80" s="36">
        <v>1020</v>
      </c>
      <c r="G80" s="36">
        <v>151</v>
      </c>
      <c r="H80" s="36">
        <v>2210</v>
      </c>
      <c r="I80" s="36">
        <v>900</v>
      </c>
      <c r="J80" s="36">
        <v>151</v>
      </c>
      <c r="K80" s="8">
        <v>2210</v>
      </c>
      <c r="L80" s="8">
        <v>895</v>
      </c>
    </row>
    <row r="81" spans="2:12" x14ac:dyDescent="0.25">
      <c r="B81" s="1">
        <v>78</v>
      </c>
      <c r="C81" s="1">
        <v>706</v>
      </c>
      <c r="D81" s="8">
        <v>225</v>
      </c>
      <c r="E81" s="36">
        <v>2235</v>
      </c>
      <c r="F81" s="36">
        <v>1020</v>
      </c>
      <c r="G81" s="36">
        <v>173</v>
      </c>
      <c r="H81" s="36">
        <v>2230</v>
      </c>
      <c r="I81" s="36">
        <v>895</v>
      </c>
      <c r="J81" s="36">
        <v>142</v>
      </c>
      <c r="K81" s="8">
        <v>2225</v>
      </c>
      <c r="L81" s="8">
        <v>892</v>
      </c>
    </row>
    <row r="82" spans="2:12" x14ac:dyDescent="0.25">
      <c r="B82" s="1">
        <v>79</v>
      </c>
      <c r="C82" s="1">
        <v>707</v>
      </c>
      <c r="D82" s="8">
        <v>162</v>
      </c>
      <c r="E82" s="36">
        <v>2220</v>
      </c>
      <c r="F82" s="36">
        <v>1030</v>
      </c>
      <c r="G82" s="36">
        <v>175</v>
      </c>
      <c r="H82" s="36">
        <v>2230</v>
      </c>
      <c r="I82" s="36">
        <v>897</v>
      </c>
      <c r="J82" s="36">
        <v>148</v>
      </c>
      <c r="K82" s="8">
        <v>2235</v>
      </c>
      <c r="L82" s="8">
        <v>897</v>
      </c>
    </row>
    <row r="83" spans="2:12" x14ac:dyDescent="0.25">
      <c r="B83" s="1">
        <v>80</v>
      </c>
      <c r="C83" s="1">
        <v>708</v>
      </c>
      <c r="D83" s="52">
        <v>155</v>
      </c>
      <c r="E83" s="52">
        <v>2230</v>
      </c>
      <c r="F83" s="52">
        <v>1030</v>
      </c>
      <c r="G83" s="52">
        <v>150</v>
      </c>
      <c r="H83" s="52">
        <v>2230</v>
      </c>
      <c r="I83" s="52">
        <v>900</v>
      </c>
      <c r="J83" s="52">
        <v>155</v>
      </c>
      <c r="K83" s="52">
        <v>2230</v>
      </c>
      <c r="L83" s="52">
        <v>900</v>
      </c>
    </row>
    <row r="84" spans="2:12" x14ac:dyDescent="0.25">
      <c r="B84" s="1">
        <v>81</v>
      </c>
      <c r="C84" s="1">
        <v>709</v>
      </c>
      <c r="D84" s="8">
        <v>157</v>
      </c>
      <c r="E84" s="36">
        <v>2225</v>
      </c>
      <c r="F84" s="36">
        <v>1030</v>
      </c>
      <c r="G84" s="36">
        <v>158</v>
      </c>
      <c r="H84" s="36">
        <v>2210</v>
      </c>
      <c r="I84" s="36">
        <v>900</v>
      </c>
      <c r="J84" s="36">
        <v>144</v>
      </c>
      <c r="K84" s="8">
        <v>2205</v>
      </c>
      <c r="L84" s="8">
        <v>895</v>
      </c>
    </row>
    <row r="85" spans="2:12" x14ac:dyDescent="0.25">
      <c r="B85" s="1">
        <v>82</v>
      </c>
      <c r="C85" s="1">
        <v>710</v>
      </c>
      <c r="D85" s="8">
        <v>142</v>
      </c>
      <c r="E85" s="36">
        <v>2300</v>
      </c>
      <c r="F85" s="36">
        <v>1025</v>
      </c>
      <c r="G85" s="38"/>
      <c r="H85" s="38"/>
      <c r="I85" s="38"/>
      <c r="J85" s="38"/>
      <c r="K85" s="37"/>
      <c r="L85" s="1"/>
    </row>
    <row r="86" spans="2:12" x14ac:dyDescent="0.25">
      <c r="B86" s="1">
        <v>83</v>
      </c>
      <c r="C86" s="1">
        <v>711</v>
      </c>
      <c r="D86" s="8">
        <v>144</v>
      </c>
      <c r="E86" s="36">
        <v>2245</v>
      </c>
      <c r="F86" s="36">
        <v>1030</v>
      </c>
      <c r="G86" s="36">
        <v>151</v>
      </c>
      <c r="H86" s="36">
        <v>2250</v>
      </c>
      <c r="I86" s="36">
        <v>900</v>
      </c>
      <c r="J86" s="36">
        <v>112</v>
      </c>
      <c r="K86" s="8">
        <v>2250</v>
      </c>
      <c r="L86" s="8">
        <v>898</v>
      </c>
    </row>
    <row r="87" spans="2:12" x14ac:dyDescent="0.25">
      <c r="B87" s="5">
        <v>84</v>
      </c>
      <c r="C87" s="5">
        <v>712</v>
      </c>
      <c r="D87" s="52">
        <v>144</v>
      </c>
      <c r="E87" s="52">
        <v>2245</v>
      </c>
      <c r="F87" s="52">
        <v>1030</v>
      </c>
      <c r="G87" s="45">
        <v>148</v>
      </c>
      <c r="H87" s="45">
        <v>2225</v>
      </c>
      <c r="I87" s="45">
        <v>900</v>
      </c>
      <c r="J87" s="45">
        <v>112</v>
      </c>
      <c r="K87" s="45">
        <v>2220</v>
      </c>
      <c r="L87" s="45">
        <v>900</v>
      </c>
    </row>
    <row r="88" spans="2:12" x14ac:dyDescent="0.25">
      <c r="B88" s="1">
        <v>85</v>
      </c>
      <c r="C88" s="1">
        <v>801</v>
      </c>
      <c r="D88" s="8">
        <v>153</v>
      </c>
      <c r="E88" s="36">
        <v>2235</v>
      </c>
      <c r="F88" s="36">
        <v>1025</v>
      </c>
      <c r="G88" s="36">
        <v>150</v>
      </c>
      <c r="H88" s="36">
        <v>2250</v>
      </c>
      <c r="I88" s="36">
        <v>895</v>
      </c>
      <c r="J88" s="36">
        <v>146</v>
      </c>
      <c r="K88" s="8">
        <v>2250</v>
      </c>
      <c r="L88" s="8">
        <v>895</v>
      </c>
    </row>
    <row r="89" spans="2:12" x14ac:dyDescent="0.25">
      <c r="B89" s="1">
        <v>86</v>
      </c>
      <c r="C89" s="1">
        <v>802</v>
      </c>
      <c r="D89" s="8">
        <v>153</v>
      </c>
      <c r="E89" s="36">
        <v>2225</v>
      </c>
      <c r="F89" s="36">
        <v>1028</v>
      </c>
      <c r="G89" s="36">
        <v>150</v>
      </c>
      <c r="H89" s="36">
        <v>2210</v>
      </c>
      <c r="I89" s="36">
        <v>893</v>
      </c>
      <c r="J89" s="36">
        <v>145</v>
      </c>
      <c r="K89" s="8">
        <v>2220</v>
      </c>
      <c r="L89" s="8">
        <v>895</v>
      </c>
    </row>
    <row r="90" spans="2:12" x14ac:dyDescent="0.25">
      <c r="B90" s="1">
        <v>87</v>
      </c>
      <c r="C90" s="1">
        <v>803</v>
      </c>
      <c r="D90" s="8">
        <v>157</v>
      </c>
      <c r="E90" s="36">
        <v>2240</v>
      </c>
      <c r="F90" s="36">
        <v>1025</v>
      </c>
      <c r="G90" s="36">
        <v>136</v>
      </c>
      <c r="H90" s="36">
        <v>2245</v>
      </c>
      <c r="I90" s="36">
        <v>863</v>
      </c>
      <c r="J90" s="36">
        <v>138</v>
      </c>
      <c r="K90" s="8">
        <v>2245</v>
      </c>
      <c r="L90" s="8">
        <v>900</v>
      </c>
    </row>
    <row r="91" spans="2:12" x14ac:dyDescent="0.25">
      <c r="B91" s="1">
        <v>88</v>
      </c>
      <c r="C91" s="1">
        <v>804</v>
      </c>
      <c r="D91" s="8">
        <v>157</v>
      </c>
      <c r="E91" s="36">
        <v>2245</v>
      </c>
      <c r="F91" s="36">
        <v>1030</v>
      </c>
      <c r="G91" s="36">
        <v>148</v>
      </c>
      <c r="H91" s="36">
        <v>2245</v>
      </c>
      <c r="I91" s="36">
        <v>880</v>
      </c>
      <c r="J91" s="36">
        <v>143</v>
      </c>
      <c r="K91" s="8">
        <v>2245</v>
      </c>
      <c r="L91" s="8">
        <v>880</v>
      </c>
    </row>
    <row r="92" spans="2:12" x14ac:dyDescent="0.25">
      <c r="B92" s="1">
        <v>89</v>
      </c>
      <c r="C92" s="1">
        <v>805</v>
      </c>
      <c r="D92" s="8">
        <v>141</v>
      </c>
      <c r="E92" s="36">
        <v>2215</v>
      </c>
      <c r="F92" s="36">
        <v>1025</v>
      </c>
      <c r="G92" s="36">
        <v>146</v>
      </c>
      <c r="H92" s="36">
        <v>2220</v>
      </c>
      <c r="I92" s="36">
        <v>892</v>
      </c>
      <c r="J92" s="36">
        <v>153</v>
      </c>
      <c r="K92" s="8">
        <v>2220</v>
      </c>
      <c r="L92" s="8">
        <v>895</v>
      </c>
    </row>
    <row r="93" spans="2:12" x14ac:dyDescent="0.25">
      <c r="B93" s="1">
        <v>90</v>
      </c>
      <c r="C93" s="1">
        <v>806</v>
      </c>
      <c r="D93" s="8">
        <v>235</v>
      </c>
      <c r="E93" s="36">
        <v>2220</v>
      </c>
      <c r="F93" s="36">
        <v>1010</v>
      </c>
      <c r="G93" s="36">
        <v>144</v>
      </c>
      <c r="H93" s="36">
        <v>2230</v>
      </c>
      <c r="I93" s="36">
        <v>900</v>
      </c>
      <c r="J93" s="36">
        <v>144</v>
      </c>
      <c r="K93" s="8">
        <v>2230</v>
      </c>
      <c r="L93" s="8">
        <v>897</v>
      </c>
    </row>
    <row r="94" spans="2:12" x14ac:dyDescent="0.25">
      <c r="B94" s="1">
        <v>91</v>
      </c>
      <c r="C94" s="1">
        <v>807</v>
      </c>
      <c r="D94" s="8">
        <v>144</v>
      </c>
      <c r="E94" s="36">
        <v>2205</v>
      </c>
      <c r="F94" s="36">
        <v>1015</v>
      </c>
      <c r="G94" s="36">
        <v>185</v>
      </c>
      <c r="H94" s="36">
        <v>2240</v>
      </c>
      <c r="I94" s="36">
        <v>895</v>
      </c>
      <c r="J94" s="36">
        <v>150</v>
      </c>
      <c r="K94" s="8">
        <v>2240</v>
      </c>
      <c r="L94" s="8">
        <v>895</v>
      </c>
    </row>
    <row r="95" spans="2:12" x14ac:dyDescent="0.25">
      <c r="B95" s="1">
        <v>92</v>
      </c>
      <c r="C95" s="1">
        <v>808</v>
      </c>
      <c r="D95" s="8">
        <v>145</v>
      </c>
      <c r="E95" s="36">
        <v>2210</v>
      </c>
      <c r="F95" s="36">
        <v>1040</v>
      </c>
      <c r="G95" s="36">
        <v>139</v>
      </c>
      <c r="H95" s="36">
        <v>2230</v>
      </c>
      <c r="I95" s="36">
        <v>897</v>
      </c>
      <c r="J95" s="36">
        <v>148</v>
      </c>
      <c r="K95" s="8">
        <v>2225</v>
      </c>
      <c r="L95" s="8">
        <v>900</v>
      </c>
    </row>
    <row r="96" spans="2:12" x14ac:dyDescent="0.25">
      <c r="B96" s="1">
        <v>93</v>
      </c>
      <c r="C96" s="1">
        <v>809</v>
      </c>
      <c r="D96" s="8">
        <v>155</v>
      </c>
      <c r="E96" s="36">
        <v>2250</v>
      </c>
      <c r="F96" s="36">
        <v>1027</v>
      </c>
      <c r="G96" s="36">
        <v>160</v>
      </c>
      <c r="H96" s="36">
        <v>2250</v>
      </c>
      <c r="I96" s="36">
        <v>900</v>
      </c>
      <c r="J96" s="36">
        <v>151</v>
      </c>
      <c r="K96" s="8">
        <v>2250</v>
      </c>
      <c r="L96" s="8">
        <v>900</v>
      </c>
    </row>
    <row r="97" spans="2:18" x14ac:dyDescent="0.25">
      <c r="B97" s="1">
        <v>94</v>
      </c>
      <c r="C97" s="1">
        <v>810</v>
      </c>
      <c r="D97" s="8">
        <v>155</v>
      </c>
      <c r="E97" s="36">
        <v>2210</v>
      </c>
      <c r="F97" s="36">
        <v>1025</v>
      </c>
      <c r="G97" s="36">
        <v>168</v>
      </c>
      <c r="H97" s="36">
        <v>2225</v>
      </c>
      <c r="I97" s="36">
        <v>900</v>
      </c>
      <c r="J97" s="36">
        <v>155</v>
      </c>
      <c r="K97" s="8">
        <v>2225</v>
      </c>
      <c r="L97" s="8">
        <v>885</v>
      </c>
    </row>
    <row r="98" spans="2:18" x14ac:dyDescent="0.25">
      <c r="B98" s="1">
        <v>95</v>
      </c>
      <c r="C98" s="1">
        <v>811</v>
      </c>
      <c r="D98" s="8">
        <v>156</v>
      </c>
      <c r="E98" s="36">
        <v>2205</v>
      </c>
      <c r="F98" s="36">
        <v>1028</v>
      </c>
      <c r="G98" s="36">
        <v>150</v>
      </c>
      <c r="H98" s="36">
        <v>2200</v>
      </c>
      <c r="I98" s="36">
        <v>900</v>
      </c>
      <c r="J98" s="36">
        <v>112</v>
      </c>
      <c r="K98" s="8">
        <v>2200</v>
      </c>
      <c r="L98" s="8">
        <v>892</v>
      </c>
    </row>
    <row r="99" spans="2:18" x14ac:dyDescent="0.25">
      <c r="B99" s="1">
        <v>96</v>
      </c>
      <c r="C99" s="1">
        <v>812</v>
      </c>
      <c r="D99" s="8">
        <v>155</v>
      </c>
      <c r="E99" s="36">
        <v>2225</v>
      </c>
      <c r="F99" s="36">
        <v>1030</v>
      </c>
      <c r="G99" s="36">
        <v>155</v>
      </c>
      <c r="H99" s="36">
        <v>2225</v>
      </c>
      <c r="I99" s="36">
        <v>898</v>
      </c>
      <c r="J99" s="36">
        <v>121</v>
      </c>
      <c r="K99" s="8">
        <v>2220</v>
      </c>
      <c r="L99" s="8">
        <v>898</v>
      </c>
    </row>
    <row r="100" spans="2:18" x14ac:dyDescent="0.25">
      <c r="B100" s="1">
        <v>97</v>
      </c>
      <c r="C100" s="1">
        <v>901</v>
      </c>
      <c r="D100" s="8">
        <v>149</v>
      </c>
      <c r="E100" s="36">
        <v>2215</v>
      </c>
      <c r="F100" s="36">
        <v>1025</v>
      </c>
      <c r="G100" s="36">
        <v>160</v>
      </c>
      <c r="H100" s="36">
        <v>2230</v>
      </c>
      <c r="I100" s="36">
        <v>905</v>
      </c>
      <c r="J100" s="36">
        <v>145</v>
      </c>
      <c r="K100" s="8">
        <v>2230</v>
      </c>
      <c r="L100" s="8">
        <v>900</v>
      </c>
    </row>
    <row r="101" spans="2:18" x14ac:dyDescent="0.25">
      <c r="B101" s="1">
        <v>98</v>
      </c>
      <c r="C101" s="1">
        <v>902</v>
      </c>
      <c r="D101" s="8">
        <v>146</v>
      </c>
      <c r="E101" s="36">
        <v>2220</v>
      </c>
      <c r="F101" s="36">
        <v>1035</v>
      </c>
      <c r="G101" s="36">
        <v>173</v>
      </c>
      <c r="H101" s="36">
        <v>2230</v>
      </c>
      <c r="I101" s="36">
        <v>880</v>
      </c>
      <c r="J101" s="36">
        <v>142</v>
      </c>
      <c r="K101" s="8">
        <v>2230</v>
      </c>
      <c r="L101" s="8">
        <v>880</v>
      </c>
    </row>
    <row r="102" spans="2:18" x14ac:dyDescent="0.25">
      <c r="B102" s="1">
        <v>99</v>
      </c>
      <c r="C102" s="1">
        <v>903</v>
      </c>
      <c r="D102" s="8">
        <v>146</v>
      </c>
      <c r="E102" s="36">
        <v>2215</v>
      </c>
      <c r="F102" s="36">
        <v>1015</v>
      </c>
      <c r="G102" s="36">
        <v>150</v>
      </c>
      <c r="H102" s="36">
        <v>2225</v>
      </c>
      <c r="I102" s="36">
        <v>886</v>
      </c>
      <c r="J102" s="36">
        <v>145</v>
      </c>
      <c r="K102" s="8">
        <v>2220</v>
      </c>
      <c r="L102" s="8">
        <v>885</v>
      </c>
    </row>
    <row r="103" spans="2:18" x14ac:dyDescent="0.25">
      <c r="B103" s="1">
        <v>100</v>
      </c>
      <c r="C103" s="1">
        <v>904</v>
      </c>
      <c r="D103" s="8">
        <v>145</v>
      </c>
      <c r="E103" s="36">
        <v>2205</v>
      </c>
      <c r="F103" s="36">
        <v>1040</v>
      </c>
      <c r="G103" s="36">
        <v>151</v>
      </c>
      <c r="H103" s="36">
        <v>2225</v>
      </c>
      <c r="I103" s="36">
        <v>885</v>
      </c>
      <c r="J103" s="36">
        <v>142</v>
      </c>
      <c r="K103" s="8">
        <v>2225</v>
      </c>
      <c r="L103" s="8">
        <v>885</v>
      </c>
    </row>
    <row r="104" spans="2:18" x14ac:dyDescent="0.25">
      <c r="B104" s="1">
        <v>101</v>
      </c>
      <c r="C104" s="1">
        <v>905</v>
      </c>
      <c r="D104" s="8">
        <v>163</v>
      </c>
      <c r="E104" s="36">
        <v>2230</v>
      </c>
      <c r="F104" s="36">
        <v>1030</v>
      </c>
      <c r="G104" s="36">
        <v>144</v>
      </c>
      <c r="H104" s="36">
        <v>2240</v>
      </c>
      <c r="I104" s="36">
        <v>892</v>
      </c>
      <c r="J104" s="36">
        <v>150</v>
      </c>
      <c r="K104" s="8">
        <v>2240</v>
      </c>
      <c r="L104" s="8">
        <v>895</v>
      </c>
    </row>
    <row r="105" spans="2:18" x14ac:dyDescent="0.25">
      <c r="B105" s="1">
        <v>102</v>
      </c>
      <c r="C105" s="1">
        <v>906</v>
      </c>
      <c r="D105" s="8">
        <v>236</v>
      </c>
      <c r="E105" s="36">
        <v>2225</v>
      </c>
      <c r="F105" s="36">
        <v>1010</v>
      </c>
      <c r="G105" s="36">
        <v>152</v>
      </c>
      <c r="H105" s="36">
        <v>2210</v>
      </c>
      <c r="I105" s="36">
        <v>900</v>
      </c>
      <c r="J105" s="36">
        <v>155</v>
      </c>
      <c r="K105" s="8">
        <v>2210</v>
      </c>
      <c r="L105" s="8">
        <v>900</v>
      </c>
    </row>
    <row r="106" spans="2:18" x14ac:dyDescent="0.25">
      <c r="B106" s="1">
        <v>103</v>
      </c>
      <c r="C106" s="1">
        <v>907</v>
      </c>
      <c r="D106" s="8">
        <v>147</v>
      </c>
      <c r="E106" s="36">
        <v>2220</v>
      </c>
      <c r="F106" s="36">
        <v>1018</v>
      </c>
      <c r="G106" s="36">
        <v>167</v>
      </c>
      <c r="H106" s="36">
        <v>2215</v>
      </c>
      <c r="I106" s="36">
        <v>900</v>
      </c>
      <c r="J106" s="36">
        <v>144</v>
      </c>
      <c r="K106" s="8">
        <v>2220</v>
      </c>
      <c r="L106" s="8">
        <v>900</v>
      </c>
    </row>
    <row r="107" spans="2:18" x14ac:dyDescent="0.25">
      <c r="B107" s="1">
        <v>104</v>
      </c>
      <c r="C107" s="1">
        <v>908</v>
      </c>
      <c r="D107" s="8">
        <v>161</v>
      </c>
      <c r="E107" s="36">
        <v>2220</v>
      </c>
      <c r="F107" s="36">
        <v>1040</v>
      </c>
      <c r="G107" s="36">
        <v>142</v>
      </c>
      <c r="H107" s="36">
        <v>2220</v>
      </c>
      <c r="I107" s="36">
        <v>895</v>
      </c>
      <c r="J107" s="36">
        <v>140</v>
      </c>
      <c r="K107" s="8">
        <v>2220</v>
      </c>
      <c r="L107" s="8">
        <v>900</v>
      </c>
    </row>
    <row r="108" spans="2:18" x14ac:dyDescent="0.25">
      <c r="B108" s="1">
        <v>105</v>
      </c>
      <c r="C108" s="1">
        <v>909</v>
      </c>
      <c r="D108" s="8">
        <v>147</v>
      </c>
      <c r="E108" s="36">
        <v>2205</v>
      </c>
      <c r="F108" s="36">
        <v>1025</v>
      </c>
      <c r="G108" s="36">
        <v>163</v>
      </c>
      <c r="H108" s="36">
        <v>2215</v>
      </c>
      <c r="I108" s="36">
        <v>900</v>
      </c>
      <c r="J108" s="36">
        <v>149</v>
      </c>
      <c r="K108" s="8">
        <v>2205</v>
      </c>
      <c r="L108" s="8">
        <v>900</v>
      </c>
    </row>
    <row r="109" spans="2:18" x14ac:dyDescent="0.25">
      <c r="B109" s="1">
        <v>106</v>
      </c>
      <c r="C109" s="1">
        <v>910</v>
      </c>
      <c r="D109" s="8">
        <v>156</v>
      </c>
      <c r="E109" s="36">
        <v>2210</v>
      </c>
      <c r="F109" s="36">
        <v>1025</v>
      </c>
      <c r="G109" s="36">
        <v>163</v>
      </c>
      <c r="H109" s="36">
        <v>2220</v>
      </c>
      <c r="I109" s="36">
        <v>895</v>
      </c>
      <c r="J109" s="36">
        <v>156</v>
      </c>
      <c r="K109" s="8">
        <v>2220</v>
      </c>
      <c r="L109" s="8">
        <v>895</v>
      </c>
    </row>
    <row r="110" spans="2:18" x14ac:dyDescent="0.25">
      <c r="B110" s="1">
        <v>107</v>
      </c>
      <c r="C110" s="1">
        <v>911</v>
      </c>
      <c r="D110" s="8">
        <v>142</v>
      </c>
      <c r="E110" s="36">
        <v>2215</v>
      </c>
      <c r="F110" s="36">
        <v>1030</v>
      </c>
      <c r="G110" s="52">
        <v>150</v>
      </c>
      <c r="H110" s="52">
        <v>2205</v>
      </c>
      <c r="I110" s="52">
        <v>900</v>
      </c>
      <c r="J110" s="38">
        <v>130</v>
      </c>
      <c r="K110" s="37">
        <v>2215</v>
      </c>
      <c r="L110" s="1">
        <v>900</v>
      </c>
    </row>
    <row r="111" spans="2:18" x14ac:dyDescent="0.25">
      <c r="B111" s="1">
        <v>108</v>
      </c>
      <c r="C111" s="1">
        <v>912</v>
      </c>
      <c r="D111" s="8">
        <v>148</v>
      </c>
      <c r="E111" s="36">
        <v>2300</v>
      </c>
      <c r="F111" s="36">
        <v>1027</v>
      </c>
      <c r="G111" s="36">
        <v>153</v>
      </c>
      <c r="H111" s="36">
        <v>2310</v>
      </c>
      <c r="I111" s="36">
        <v>900</v>
      </c>
      <c r="J111" s="36">
        <v>110</v>
      </c>
      <c r="K111" s="8">
        <v>2320</v>
      </c>
      <c r="L111" s="8">
        <v>895</v>
      </c>
    </row>
    <row r="112" spans="2:18" x14ac:dyDescent="0.25">
      <c r="B112" s="1">
        <v>109</v>
      </c>
      <c r="C112" s="1">
        <v>1001</v>
      </c>
      <c r="D112" s="8">
        <v>152</v>
      </c>
      <c r="E112" s="36">
        <v>2275</v>
      </c>
      <c r="F112" s="36">
        <v>1025</v>
      </c>
      <c r="G112" s="36">
        <v>154</v>
      </c>
      <c r="H112" s="36">
        <v>2230</v>
      </c>
      <c r="I112" s="36">
        <v>895</v>
      </c>
      <c r="J112" s="36">
        <v>146</v>
      </c>
      <c r="K112" s="8">
        <v>2235</v>
      </c>
      <c r="L112" s="8">
        <v>895</v>
      </c>
      <c r="Q112">
        <v>1005</v>
      </c>
      <c r="R112" t="s">
        <v>4</v>
      </c>
    </row>
    <row r="113" spans="2:12" x14ac:dyDescent="0.25">
      <c r="B113" s="1">
        <v>110</v>
      </c>
      <c r="C113" s="1">
        <v>1002</v>
      </c>
      <c r="D113" s="8">
        <v>154</v>
      </c>
      <c r="E113" s="36">
        <v>2290</v>
      </c>
      <c r="F113" s="36">
        <v>1020</v>
      </c>
      <c r="G113" s="36">
        <v>159</v>
      </c>
      <c r="H113" s="36">
        <v>2270</v>
      </c>
      <c r="I113" s="36">
        <v>890</v>
      </c>
      <c r="J113" s="36">
        <v>148</v>
      </c>
      <c r="K113" s="8">
        <v>2270</v>
      </c>
      <c r="L113" s="8">
        <v>885</v>
      </c>
    </row>
    <row r="114" spans="2:12" x14ac:dyDescent="0.25">
      <c r="B114" s="1">
        <v>111</v>
      </c>
      <c r="C114" s="1">
        <v>1003</v>
      </c>
      <c r="D114" s="8">
        <v>153</v>
      </c>
      <c r="E114" s="36">
        <v>2235</v>
      </c>
      <c r="F114" s="36">
        <v>1030</v>
      </c>
      <c r="G114" s="36">
        <v>142</v>
      </c>
      <c r="H114" s="36">
        <v>2250</v>
      </c>
      <c r="I114" s="36">
        <v>887</v>
      </c>
      <c r="J114" s="36">
        <v>148</v>
      </c>
      <c r="K114" s="8">
        <v>2255</v>
      </c>
      <c r="L114" s="8">
        <v>885</v>
      </c>
    </row>
    <row r="115" spans="2:12" x14ac:dyDescent="0.25">
      <c r="B115" s="1">
        <v>112</v>
      </c>
      <c r="C115" s="1">
        <v>1004</v>
      </c>
      <c r="D115" s="8">
        <v>158</v>
      </c>
      <c r="E115" s="36">
        <v>2240</v>
      </c>
      <c r="F115" s="36">
        <v>1025</v>
      </c>
      <c r="G115" s="36">
        <v>150</v>
      </c>
      <c r="H115" s="36">
        <v>2235</v>
      </c>
      <c r="I115" s="36">
        <v>885</v>
      </c>
      <c r="J115" s="36">
        <v>146</v>
      </c>
      <c r="K115" s="8">
        <v>2235</v>
      </c>
      <c r="L115" s="8">
        <v>887</v>
      </c>
    </row>
    <row r="116" spans="2:12" x14ac:dyDescent="0.25">
      <c r="B116" s="1">
        <v>113</v>
      </c>
      <c r="C116" s="1">
        <v>1005</v>
      </c>
      <c r="D116" s="8">
        <v>162</v>
      </c>
      <c r="E116" s="36">
        <v>2250</v>
      </c>
      <c r="F116" s="36">
        <v>1030</v>
      </c>
      <c r="G116" s="36">
        <v>147</v>
      </c>
      <c r="H116" s="36">
        <v>2250</v>
      </c>
      <c r="I116" s="36">
        <v>885</v>
      </c>
      <c r="J116" s="36">
        <v>151</v>
      </c>
      <c r="K116" s="8">
        <v>2250</v>
      </c>
      <c r="L116" s="8">
        <v>880</v>
      </c>
    </row>
    <row r="117" spans="2:12" x14ac:dyDescent="0.25">
      <c r="B117" s="1">
        <v>114</v>
      </c>
      <c r="C117" s="1">
        <v>1006</v>
      </c>
      <c r="D117" s="8">
        <v>232</v>
      </c>
      <c r="E117" s="36">
        <v>2240</v>
      </c>
      <c r="F117" s="36">
        <v>1030</v>
      </c>
      <c r="G117" s="36">
        <v>144</v>
      </c>
      <c r="H117" s="36">
        <v>2240</v>
      </c>
      <c r="I117" s="36">
        <v>895</v>
      </c>
      <c r="J117" s="36">
        <v>148</v>
      </c>
      <c r="K117" s="8">
        <v>2240</v>
      </c>
      <c r="L117" s="8">
        <v>895</v>
      </c>
    </row>
    <row r="118" spans="2:12" x14ac:dyDescent="0.25">
      <c r="B118" s="1">
        <v>115</v>
      </c>
      <c r="C118" s="1">
        <v>1007</v>
      </c>
      <c r="D118" s="8">
        <v>150</v>
      </c>
      <c r="E118" s="36">
        <v>2300</v>
      </c>
      <c r="F118" s="36">
        <v>1070</v>
      </c>
      <c r="G118" s="36">
        <v>190</v>
      </c>
      <c r="H118" s="36">
        <v>2300</v>
      </c>
      <c r="I118" s="36">
        <v>900</v>
      </c>
      <c r="J118" s="52">
        <v>140</v>
      </c>
      <c r="K118" s="52">
        <v>2230</v>
      </c>
      <c r="L118" s="52">
        <v>880</v>
      </c>
    </row>
    <row r="119" spans="2:12" x14ac:dyDescent="0.25">
      <c r="B119" s="1">
        <v>116</v>
      </c>
      <c r="C119" s="1">
        <v>1008</v>
      </c>
      <c r="D119" s="52">
        <v>155</v>
      </c>
      <c r="E119" s="52">
        <v>2225</v>
      </c>
      <c r="F119" s="52">
        <v>1065</v>
      </c>
      <c r="G119" s="36">
        <v>146</v>
      </c>
      <c r="H119" s="36">
        <v>2225</v>
      </c>
      <c r="I119" s="36">
        <v>900</v>
      </c>
      <c r="J119" s="36">
        <v>156</v>
      </c>
      <c r="K119" s="8">
        <v>2225</v>
      </c>
      <c r="L119" s="8">
        <v>891</v>
      </c>
    </row>
    <row r="120" spans="2:12" x14ac:dyDescent="0.25">
      <c r="B120" s="1">
        <v>117</v>
      </c>
      <c r="C120" s="1">
        <v>1009</v>
      </c>
      <c r="D120" s="8">
        <v>155</v>
      </c>
      <c r="E120" s="36">
        <v>2250</v>
      </c>
      <c r="F120" s="36">
        <v>1025</v>
      </c>
      <c r="G120" s="36">
        <v>180</v>
      </c>
      <c r="H120" s="36">
        <v>2235</v>
      </c>
      <c r="I120" s="36">
        <v>900</v>
      </c>
      <c r="J120" s="36">
        <v>144</v>
      </c>
      <c r="K120" s="8">
        <v>2240</v>
      </c>
      <c r="L120" s="8">
        <v>900</v>
      </c>
    </row>
    <row r="121" spans="2:12" x14ac:dyDescent="0.25">
      <c r="B121" s="1">
        <v>118</v>
      </c>
      <c r="C121" s="1">
        <v>1010</v>
      </c>
      <c r="D121" s="8">
        <v>168</v>
      </c>
      <c r="E121" s="36">
        <v>2235</v>
      </c>
      <c r="F121" s="36">
        <v>1030</v>
      </c>
      <c r="G121" s="36">
        <v>174</v>
      </c>
      <c r="H121" s="36">
        <v>2235</v>
      </c>
      <c r="I121" s="36">
        <v>892</v>
      </c>
      <c r="J121" s="36">
        <v>169</v>
      </c>
      <c r="K121" s="8">
        <v>2235</v>
      </c>
      <c r="L121" s="8">
        <v>895</v>
      </c>
    </row>
    <row r="122" spans="2:12" x14ac:dyDescent="0.25">
      <c r="B122" s="1">
        <v>119</v>
      </c>
      <c r="C122" s="1">
        <v>1011</v>
      </c>
      <c r="D122" s="8">
        <v>158</v>
      </c>
      <c r="E122" s="36">
        <v>2300</v>
      </c>
      <c r="F122" s="36">
        <v>1030</v>
      </c>
      <c r="G122" s="36">
        <v>147</v>
      </c>
      <c r="H122" s="36">
        <v>2260</v>
      </c>
      <c r="I122" s="36">
        <v>900</v>
      </c>
      <c r="J122" s="52">
        <v>135</v>
      </c>
      <c r="K122" s="52">
        <v>2220</v>
      </c>
      <c r="L122" s="52">
        <v>900</v>
      </c>
    </row>
    <row r="123" spans="2:12" x14ac:dyDescent="0.25">
      <c r="B123" s="1">
        <v>120</v>
      </c>
      <c r="C123" s="1">
        <v>1012</v>
      </c>
      <c r="D123" s="8">
        <v>149</v>
      </c>
      <c r="E123" s="36">
        <v>2230</v>
      </c>
      <c r="F123" s="36">
        <v>1025</v>
      </c>
      <c r="G123" s="36">
        <v>156</v>
      </c>
      <c r="H123" s="36">
        <v>2230</v>
      </c>
      <c r="I123" s="36">
        <v>895</v>
      </c>
      <c r="J123" s="36">
        <v>124</v>
      </c>
      <c r="K123" s="8">
        <v>2230</v>
      </c>
      <c r="L123" s="8">
        <v>895</v>
      </c>
    </row>
    <row r="124" spans="2:12" x14ac:dyDescent="0.25">
      <c r="B124" s="1">
        <v>121</v>
      </c>
      <c r="C124" s="1">
        <v>1101</v>
      </c>
      <c r="D124" s="8">
        <v>150</v>
      </c>
      <c r="E124" s="36">
        <v>2245</v>
      </c>
      <c r="F124" s="36">
        <v>1026</v>
      </c>
      <c r="G124" s="36">
        <v>158</v>
      </c>
      <c r="H124" s="36">
        <v>2250</v>
      </c>
      <c r="I124" s="36">
        <v>895</v>
      </c>
      <c r="J124" s="36">
        <v>147</v>
      </c>
      <c r="K124" s="8">
        <v>2255</v>
      </c>
      <c r="L124" s="8">
        <v>900</v>
      </c>
    </row>
    <row r="125" spans="2:12" x14ac:dyDescent="0.25">
      <c r="B125" s="1">
        <v>122</v>
      </c>
      <c r="C125" s="1">
        <v>1102</v>
      </c>
      <c r="D125" s="8">
        <v>147</v>
      </c>
      <c r="E125" s="36">
        <v>2300</v>
      </c>
      <c r="F125" s="36">
        <v>1030</v>
      </c>
      <c r="G125" s="36">
        <v>153</v>
      </c>
      <c r="H125" s="36">
        <v>2300</v>
      </c>
      <c r="I125" s="36">
        <v>885</v>
      </c>
      <c r="J125" s="36">
        <v>145</v>
      </c>
      <c r="K125" s="8">
        <v>2300</v>
      </c>
      <c r="L125" s="8">
        <v>885</v>
      </c>
    </row>
    <row r="126" spans="2:12" x14ac:dyDescent="0.25">
      <c r="B126" s="1">
        <v>123</v>
      </c>
      <c r="C126" s="1">
        <v>1103</v>
      </c>
      <c r="D126" s="8">
        <v>153</v>
      </c>
      <c r="E126" s="36">
        <v>2300</v>
      </c>
      <c r="F126" s="36">
        <v>1015</v>
      </c>
      <c r="G126" s="36">
        <v>146</v>
      </c>
      <c r="H126" s="36">
        <v>2300</v>
      </c>
      <c r="I126" s="36">
        <v>895</v>
      </c>
      <c r="J126" s="36">
        <v>150</v>
      </c>
      <c r="K126" s="8">
        <v>2300</v>
      </c>
      <c r="L126" s="8">
        <v>895</v>
      </c>
    </row>
    <row r="127" spans="2:12" x14ac:dyDescent="0.25">
      <c r="B127" s="1">
        <v>124</v>
      </c>
      <c r="C127" s="1">
        <v>1104</v>
      </c>
      <c r="D127" s="8">
        <v>146</v>
      </c>
      <c r="E127" s="36">
        <v>2225</v>
      </c>
      <c r="F127" s="36">
        <v>1030</v>
      </c>
      <c r="G127" s="36">
        <v>141</v>
      </c>
      <c r="H127" s="36">
        <v>2235</v>
      </c>
      <c r="I127" s="36">
        <v>872</v>
      </c>
      <c r="J127" s="36">
        <v>141</v>
      </c>
      <c r="K127" s="8">
        <v>2230</v>
      </c>
      <c r="L127" s="8">
        <v>875</v>
      </c>
    </row>
    <row r="128" spans="2:12" x14ac:dyDescent="0.25">
      <c r="B128" s="1">
        <v>125</v>
      </c>
      <c r="C128" s="1">
        <v>1105</v>
      </c>
      <c r="D128" s="8">
        <v>155</v>
      </c>
      <c r="E128" s="36">
        <v>2240</v>
      </c>
      <c r="F128" s="36">
        <v>1018</v>
      </c>
      <c r="G128" s="36">
        <v>145</v>
      </c>
      <c r="H128" s="36">
        <v>2240</v>
      </c>
      <c r="I128" s="36">
        <v>895</v>
      </c>
      <c r="J128" s="36">
        <v>147</v>
      </c>
      <c r="K128" s="8">
        <v>2245</v>
      </c>
      <c r="L128" s="8">
        <v>900</v>
      </c>
    </row>
    <row r="129" spans="2:12" x14ac:dyDescent="0.25">
      <c r="B129" s="1">
        <v>126</v>
      </c>
      <c r="C129" s="1">
        <v>1106</v>
      </c>
      <c r="D129" s="8">
        <v>225</v>
      </c>
      <c r="E129" s="36">
        <v>2235</v>
      </c>
      <c r="F129" s="36">
        <v>1013</v>
      </c>
      <c r="G129" s="36">
        <v>154</v>
      </c>
      <c r="H129" s="36">
        <v>2225</v>
      </c>
      <c r="I129" s="36">
        <v>892</v>
      </c>
      <c r="J129" s="36">
        <v>152</v>
      </c>
      <c r="K129" s="8">
        <v>2220</v>
      </c>
      <c r="L129" s="8">
        <v>890</v>
      </c>
    </row>
    <row r="130" spans="2:12" x14ac:dyDescent="0.25">
      <c r="B130" s="1">
        <v>127</v>
      </c>
      <c r="C130" s="1">
        <v>1107</v>
      </c>
      <c r="D130" s="8">
        <v>148</v>
      </c>
      <c r="E130" s="36">
        <v>2300</v>
      </c>
      <c r="F130" s="36">
        <v>1030</v>
      </c>
      <c r="G130" s="36">
        <v>182</v>
      </c>
      <c r="H130" s="36">
        <v>2300</v>
      </c>
      <c r="I130" s="36">
        <v>900</v>
      </c>
      <c r="J130" s="52">
        <v>160</v>
      </c>
      <c r="K130" s="52">
        <v>2240</v>
      </c>
      <c r="L130" s="52">
        <v>865</v>
      </c>
    </row>
    <row r="131" spans="2:12" x14ac:dyDescent="0.25">
      <c r="B131" s="1">
        <v>128</v>
      </c>
      <c r="C131" s="1">
        <v>1108</v>
      </c>
      <c r="D131" s="8">
        <v>160</v>
      </c>
      <c r="E131" s="36">
        <v>2260</v>
      </c>
      <c r="F131" s="36">
        <v>1025</v>
      </c>
      <c r="G131" s="36">
        <v>150</v>
      </c>
      <c r="H131" s="36">
        <v>2245</v>
      </c>
      <c r="I131" s="36">
        <v>897</v>
      </c>
      <c r="J131" s="36">
        <v>141</v>
      </c>
      <c r="K131" s="8">
        <v>2250</v>
      </c>
      <c r="L131" s="8">
        <v>900</v>
      </c>
    </row>
    <row r="132" spans="2:12" x14ac:dyDescent="0.25">
      <c r="B132" s="1">
        <v>129</v>
      </c>
      <c r="C132" s="1">
        <v>1109</v>
      </c>
      <c r="D132" s="8">
        <v>163</v>
      </c>
      <c r="E132" s="36">
        <v>2250</v>
      </c>
      <c r="F132" s="36">
        <v>1030</v>
      </c>
      <c r="G132" s="36">
        <v>157</v>
      </c>
      <c r="H132" s="36">
        <v>2240</v>
      </c>
      <c r="I132" s="36">
        <v>900</v>
      </c>
      <c r="J132" s="36">
        <v>146</v>
      </c>
      <c r="K132" s="8">
        <v>2240</v>
      </c>
      <c r="L132" s="8">
        <v>895</v>
      </c>
    </row>
    <row r="133" spans="2:12" x14ac:dyDescent="0.25">
      <c r="B133" s="1">
        <v>130</v>
      </c>
      <c r="C133" s="1">
        <v>1110</v>
      </c>
      <c r="D133" s="8">
        <v>156</v>
      </c>
      <c r="E133" s="36">
        <v>2300</v>
      </c>
      <c r="F133" s="36">
        <v>1025</v>
      </c>
      <c r="G133" s="36">
        <v>171</v>
      </c>
      <c r="H133" s="36">
        <v>2300</v>
      </c>
      <c r="I133" s="36">
        <v>893</v>
      </c>
      <c r="J133" s="36">
        <v>160</v>
      </c>
      <c r="K133" s="8">
        <v>2300</v>
      </c>
      <c r="L133" s="8">
        <v>893</v>
      </c>
    </row>
    <row r="134" spans="2:12" x14ac:dyDescent="0.25">
      <c r="B134" s="1">
        <v>131</v>
      </c>
      <c r="C134" s="1">
        <v>1111</v>
      </c>
      <c r="D134" s="8">
        <v>146</v>
      </c>
      <c r="E134" s="36">
        <v>2300</v>
      </c>
      <c r="F134" s="36">
        <v>1030</v>
      </c>
      <c r="G134" s="36">
        <v>157</v>
      </c>
      <c r="H134" s="36">
        <v>2300</v>
      </c>
      <c r="I134" s="36">
        <v>900</v>
      </c>
      <c r="J134" s="38">
        <v>130</v>
      </c>
      <c r="K134" s="37">
        <v>2230</v>
      </c>
      <c r="L134" s="1">
        <v>900</v>
      </c>
    </row>
    <row r="135" spans="2:12" x14ac:dyDescent="0.25">
      <c r="B135" s="1">
        <v>132</v>
      </c>
      <c r="C135" s="1">
        <v>1112</v>
      </c>
      <c r="D135" s="8">
        <v>155</v>
      </c>
      <c r="E135" s="36">
        <v>2225</v>
      </c>
      <c r="F135" s="36">
        <v>1030</v>
      </c>
      <c r="G135" s="36">
        <v>137</v>
      </c>
      <c r="H135" s="36">
        <v>2245</v>
      </c>
      <c r="I135" s="36">
        <v>900</v>
      </c>
      <c r="J135" s="38">
        <v>120</v>
      </c>
      <c r="K135" s="37">
        <v>2250</v>
      </c>
      <c r="L135" s="1">
        <v>895</v>
      </c>
    </row>
    <row r="136" spans="2:12" x14ac:dyDescent="0.25">
      <c r="B136" s="1">
        <v>133</v>
      </c>
      <c r="C136" s="1">
        <v>1201</v>
      </c>
      <c r="D136" s="8">
        <v>153</v>
      </c>
      <c r="E136" s="36">
        <v>2300</v>
      </c>
      <c r="F136" s="36">
        <v>1022</v>
      </c>
      <c r="G136" s="36">
        <v>166</v>
      </c>
      <c r="H136" s="36">
        <v>2300</v>
      </c>
      <c r="I136" s="36">
        <v>900</v>
      </c>
      <c r="J136" s="36">
        <v>140</v>
      </c>
      <c r="K136" s="8">
        <v>2300</v>
      </c>
      <c r="L136" s="8">
        <v>900</v>
      </c>
    </row>
    <row r="137" spans="2:12" x14ac:dyDescent="0.25">
      <c r="B137" s="1">
        <v>134</v>
      </c>
      <c r="C137" s="1">
        <v>1202</v>
      </c>
      <c r="D137" s="8">
        <v>147</v>
      </c>
      <c r="E137" s="36">
        <v>2300</v>
      </c>
      <c r="F137" s="36">
        <v>1025</v>
      </c>
      <c r="G137" s="36">
        <v>165</v>
      </c>
      <c r="H137" s="36">
        <v>2300</v>
      </c>
      <c r="I137" s="36">
        <v>890</v>
      </c>
      <c r="J137" s="36">
        <v>147</v>
      </c>
      <c r="K137" s="8">
        <v>2300</v>
      </c>
      <c r="L137" s="8">
        <v>885</v>
      </c>
    </row>
    <row r="138" spans="2:12" x14ac:dyDescent="0.25">
      <c r="B138" s="1">
        <v>135</v>
      </c>
      <c r="C138" s="1">
        <v>1203</v>
      </c>
      <c r="D138" s="8">
        <v>150</v>
      </c>
      <c r="E138" s="36">
        <v>2300</v>
      </c>
      <c r="F138" s="36">
        <v>1025</v>
      </c>
      <c r="G138" s="36">
        <v>149</v>
      </c>
      <c r="H138" s="36">
        <v>2300</v>
      </c>
      <c r="I138" s="36">
        <v>885</v>
      </c>
      <c r="J138" s="36">
        <v>149</v>
      </c>
      <c r="K138" s="8">
        <v>2300</v>
      </c>
      <c r="L138" s="8">
        <v>890</v>
      </c>
    </row>
    <row r="139" spans="2:12" x14ac:dyDescent="0.25">
      <c r="B139" s="1">
        <v>136</v>
      </c>
      <c r="C139" s="1">
        <v>1204</v>
      </c>
      <c r="D139" s="8">
        <v>150</v>
      </c>
      <c r="E139" s="36">
        <v>2300</v>
      </c>
      <c r="F139" s="36">
        <v>1030</v>
      </c>
      <c r="G139" s="36">
        <v>154</v>
      </c>
      <c r="H139" s="36">
        <v>2300</v>
      </c>
      <c r="I139" s="36">
        <v>885</v>
      </c>
      <c r="J139" s="36">
        <v>152</v>
      </c>
      <c r="K139" s="8">
        <v>2300</v>
      </c>
      <c r="L139" s="8">
        <v>895</v>
      </c>
    </row>
    <row r="140" spans="2:12" x14ac:dyDescent="0.25">
      <c r="B140" s="1">
        <v>137</v>
      </c>
      <c r="C140" s="1">
        <v>1205</v>
      </c>
      <c r="D140" s="8">
        <v>143</v>
      </c>
      <c r="E140" s="36">
        <v>2300</v>
      </c>
      <c r="F140" s="36">
        <v>1030</v>
      </c>
      <c r="G140" s="36">
        <v>152</v>
      </c>
      <c r="H140" s="36">
        <v>2300</v>
      </c>
      <c r="I140" s="36">
        <v>890</v>
      </c>
      <c r="J140" s="36">
        <v>150</v>
      </c>
      <c r="K140" s="8">
        <v>2300</v>
      </c>
      <c r="L140" s="8">
        <v>890</v>
      </c>
    </row>
    <row r="141" spans="2:12" x14ac:dyDescent="0.25">
      <c r="B141" s="1">
        <v>138</v>
      </c>
      <c r="C141" s="1">
        <v>1206</v>
      </c>
      <c r="D141" s="8">
        <v>216</v>
      </c>
      <c r="E141" s="36">
        <v>2320</v>
      </c>
      <c r="F141" s="36">
        <v>1025</v>
      </c>
      <c r="G141" s="36">
        <v>150</v>
      </c>
      <c r="H141" s="36">
        <v>2300</v>
      </c>
      <c r="I141" s="36">
        <v>900</v>
      </c>
      <c r="J141" s="36">
        <v>148</v>
      </c>
      <c r="K141" s="8">
        <v>2300</v>
      </c>
      <c r="L141" s="8">
        <v>900</v>
      </c>
    </row>
    <row r="142" spans="2:12" x14ac:dyDescent="0.25">
      <c r="B142" s="1">
        <v>139</v>
      </c>
      <c r="C142" s="1">
        <v>1207</v>
      </c>
      <c r="D142" s="8">
        <v>155</v>
      </c>
      <c r="E142" s="36">
        <v>2300</v>
      </c>
      <c r="F142" s="36">
        <v>1030</v>
      </c>
      <c r="G142" s="36">
        <v>180</v>
      </c>
      <c r="H142" s="36">
        <v>2300</v>
      </c>
      <c r="I142" s="36">
        <v>895</v>
      </c>
      <c r="J142" s="36">
        <v>150</v>
      </c>
      <c r="K142" s="8">
        <v>2300</v>
      </c>
      <c r="L142" s="8">
        <v>900</v>
      </c>
    </row>
    <row r="143" spans="2:12" x14ac:dyDescent="0.25">
      <c r="B143" s="1">
        <v>140</v>
      </c>
      <c r="C143" s="1">
        <v>1208</v>
      </c>
      <c r="D143" s="8">
        <v>140</v>
      </c>
      <c r="E143" s="36">
        <v>2230</v>
      </c>
      <c r="F143" s="36">
        <v>1030</v>
      </c>
      <c r="G143" s="36">
        <v>154</v>
      </c>
      <c r="H143" s="36">
        <v>2230</v>
      </c>
      <c r="I143" s="36">
        <v>898</v>
      </c>
      <c r="J143" s="36">
        <v>152</v>
      </c>
      <c r="K143" s="8">
        <v>2230</v>
      </c>
      <c r="L143" s="8">
        <v>900</v>
      </c>
    </row>
    <row r="144" spans="2:12" x14ac:dyDescent="0.25">
      <c r="B144" s="1">
        <v>141</v>
      </c>
      <c r="C144" s="1">
        <v>1209</v>
      </c>
      <c r="D144" s="8">
        <v>158</v>
      </c>
      <c r="E144" s="36">
        <v>2230</v>
      </c>
      <c r="F144" s="36">
        <v>1028</v>
      </c>
      <c r="G144" s="36">
        <v>161</v>
      </c>
      <c r="H144" s="36">
        <v>2230</v>
      </c>
      <c r="I144" s="36">
        <v>900</v>
      </c>
      <c r="J144" s="36">
        <v>148</v>
      </c>
      <c r="K144" s="8">
        <v>2225</v>
      </c>
      <c r="L144" s="8">
        <v>898</v>
      </c>
    </row>
    <row r="145" spans="2:12" x14ac:dyDescent="0.25">
      <c r="B145" s="1">
        <v>142</v>
      </c>
      <c r="C145" s="1">
        <v>1210</v>
      </c>
      <c r="D145" s="52">
        <v>170</v>
      </c>
      <c r="E145" s="52">
        <v>2240</v>
      </c>
      <c r="F145" s="52">
        <v>1030</v>
      </c>
      <c r="G145" s="38"/>
      <c r="H145" s="38"/>
      <c r="I145" s="38"/>
      <c r="J145" s="38"/>
      <c r="K145" s="37"/>
      <c r="L145" s="1"/>
    </row>
    <row r="146" spans="2:12" x14ac:dyDescent="0.25">
      <c r="B146" s="1">
        <v>143</v>
      </c>
      <c r="C146" s="1">
        <v>1211</v>
      </c>
      <c r="D146" s="8">
        <v>156</v>
      </c>
      <c r="E146" s="36">
        <v>2300</v>
      </c>
      <c r="F146" s="36">
        <v>1026</v>
      </c>
      <c r="G146" s="36">
        <v>156</v>
      </c>
      <c r="H146" s="36">
        <v>2300</v>
      </c>
      <c r="I146" s="36">
        <v>900</v>
      </c>
      <c r="J146" s="36">
        <v>118</v>
      </c>
      <c r="K146" s="8">
        <v>2300</v>
      </c>
      <c r="L146" s="8">
        <v>900</v>
      </c>
    </row>
    <row r="147" spans="2:12" x14ac:dyDescent="0.25">
      <c r="B147" s="4">
        <v>144</v>
      </c>
      <c r="C147" s="4">
        <v>1212</v>
      </c>
      <c r="D147" s="4"/>
      <c r="E147" s="40" t="s">
        <v>9</v>
      </c>
      <c r="F147" s="41"/>
      <c r="G147" s="45">
        <v>115</v>
      </c>
      <c r="H147" s="45">
        <v>2240</v>
      </c>
      <c r="I147" s="45">
        <v>900</v>
      </c>
      <c r="J147" s="45">
        <v>144</v>
      </c>
      <c r="K147" s="45">
        <v>2235</v>
      </c>
      <c r="L147" s="45">
        <v>895</v>
      </c>
    </row>
    <row r="148" spans="2:12" x14ac:dyDescent="0.25">
      <c r="B148" s="1">
        <v>145</v>
      </c>
      <c r="C148" s="1">
        <v>1301</v>
      </c>
      <c r="D148" s="8">
        <v>155</v>
      </c>
      <c r="E148" s="36">
        <v>2250</v>
      </c>
      <c r="F148" s="36">
        <v>1025</v>
      </c>
      <c r="G148" s="36">
        <v>156</v>
      </c>
      <c r="H148" s="36">
        <v>2250</v>
      </c>
      <c r="I148" s="36">
        <v>882</v>
      </c>
      <c r="J148" s="36">
        <v>142</v>
      </c>
      <c r="K148" s="8">
        <v>2245</v>
      </c>
      <c r="L148" s="8">
        <v>885</v>
      </c>
    </row>
    <row r="149" spans="2:12" x14ac:dyDescent="0.25">
      <c r="B149" s="1">
        <v>146</v>
      </c>
      <c r="C149" s="1">
        <v>1302</v>
      </c>
      <c r="D149" s="8">
        <v>162</v>
      </c>
      <c r="E149" s="36">
        <v>2250</v>
      </c>
      <c r="F149" s="36">
        <v>1025</v>
      </c>
      <c r="G149" s="36">
        <v>152</v>
      </c>
      <c r="H149" s="36">
        <v>2230</v>
      </c>
      <c r="I149" s="36">
        <v>890</v>
      </c>
      <c r="J149" s="36">
        <v>145</v>
      </c>
      <c r="K149" s="8">
        <v>2230</v>
      </c>
      <c r="L149" s="8">
        <v>895</v>
      </c>
    </row>
    <row r="150" spans="2:12" x14ac:dyDescent="0.25">
      <c r="B150" s="1">
        <v>147</v>
      </c>
      <c r="C150" s="1">
        <v>1303</v>
      </c>
      <c r="D150" s="8">
        <v>150</v>
      </c>
      <c r="E150" s="36">
        <v>2240</v>
      </c>
      <c r="F150" s="36">
        <v>1027</v>
      </c>
      <c r="G150" s="36">
        <v>145</v>
      </c>
      <c r="H150" s="36">
        <v>2245</v>
      </c>
      <c r="I150" s="36">
        <v>892</v>
      </c>
      <c r="J150" s="36">
        <v>150</v>
      </c>
      <c r="K150" s="8">
        <v>2245</v>
      </c>
      <c r="L150" s="8">
        <v>890</v>
      </c>
    </row>
    <row r="151" spans="2:12" x14ac:dyDescent="0.25">
      <c r="B151" s="1">
        <v>148</v>
      </c>
      <c r="C151" s="1">
        <v>1304</v>
      </c>
      <c r="D151" s="8">
        <v>147</v>
      </c>
      <c r="E151" s="36">
        <v>2245</v>
      </c>
      <c r="F151" s="36">
        <v>1025</v>
      </c>
      <c r="G151" s="36">
        <v>146</v>
      </c>
      <c r="H151" s="36">
        <v>2225</v>
      </c>
      <c r="I151" s="36">
        <v>892</v>
      </c>
      <c r="J151" s="36">
        <v>150</v>
      </c>
      <c r="K151" s="8">
        <v>2225</v>
      </c>
      <c r="L151" s="8">
        <v>895</v>
      </c>
    </row>
    <row r="152" spans="2:12" x14ac:dyDescent="0.25">
      <c r="B152" s="1">
        <v>149</v>
      </c>
      <c r="C152" s="1">
        <v>1305</v>
      </c>
      <c r="D152" s="52">
        <v>145</v>
      </c>
      <c r="E152" s="52">
        <v>2235</v>
      </c>
      <c r="F152" s="52">
        <v>1020</v>
      </c>
      <c r="G152" s="36">
        <v>159</v>
      </c>
      <c r="H152" s="36">
        <v>2250</v>
      </c>
      <c r="I152" s="36">
        <v>885</v>
      </c>
      <c r="J152" s="36">
        <v>155</v>
      </c>
      <c r="K152" s="8">
        <v>2250</v>
      </c>
      <c r="L152" s="8">
        <v>885</v>
      </c>
    </row>
    <row r="153" spans="2:12" x14ac:dyDescent="0.25">
      <c r="B153" s="1">
        <v>150</v>
      </c>
      <c r="C153" s="1">
        <v>1306</v>
      </c>
      <c r="D153" s="8">
        <v>226</v>
      </c>
      <c r="E153" s="36">
        <v>2250</v>
      </c>
      <c r="F153" s="36">
        <v>1015</v>
      </c>
      <c r="G153" s="36">
        <v>156</v>
      </c>
      <c r="H153" s="36">
        <v>2245</v>
      </c>
      <c r="I153" s="36">
        <v>895</v>
      </c>
      <c r="J153" s="36">
        <v>142</v>
      </c>
      <c r="K153" s="8">
        <v>2245</v>
      </c>
      <c r="L153" s="8">
        <v>895</v>
      </c>
    </row>
    <row r="154" spans="2:12" x14ac:dyDescent="0.25">
      <c r="B154" s="1">
        <v>151</v>
      </c>
      <c r="C154" s="1">
        <v>1307</v>
      </c>
      <c r="D154" s="8">
        <v>145</v>
      </c>
      <c r="E154" s="36">
        <v>2300</v>
      </c>
      <c r="F154" s="36">
        <v>1025</v>
      </c>
      <c r="G154" s="36">
        <v>185</v>
      </c>
      <c r="H154" s="36">
        <v>2300</v>
      </c>
      <c r="I154" s="36">
        <v>895</v>
      </c>
      <c r="J154" s="36">
        <v>153</v>
      </c>
      <c r="K154" s="8">
        <v>2300</v>
      </c>
      <c r="L154" s="8">
        <v>895</v>
      </c>
    </row>
    <row r="155" spans="2:12" x14ac:dyDescent="0.25">
      <c r="B155" s="1">
        <v>152</v>
      </c>
      <c r="C155" s="1">
        <v>1308</v>
      </c>
      <c r="D155" s="8">
        <v>159</v>
      </c>
      <c r="E155" s="36">
        <v>2300</v>
      </c>
      <c r="F155" s="36">
        <v>1030</v>
      </c>
      <c r="G155" s="36">
        <v>151</v>
      </c>
      <c r="H155" s="36">
        <v>2300</v>
      </c>
      <c r="I155" s="36">
        <v>900</v>
      </c>
      <c r="J155" s="36">
        <v>142</v>
      </c>
      <c r="K155" s="8">
        <v>2300</v>
      </c>
      <c r="L155" s="8">
        <v>900</v>
      </c>
    </row>
    <row r="156" spans="2:12" x14ac:dyDescent="0.25">
      <c r="B156" s="1">
        <v>153</v>
      </c>
      <c r="C156" s="1">
        <v>1309</v>
      </c>
      <c r="D156" s="8">
        <v>160</v>
      </c>
      <c r="E156" s="36">
        <v>2250</v>
      </c>
      <c r="F156" s="36">
        <v>1027</v>
      </c>
      <c r="G156" s="36">
        <v>179</v>
      </c>
      <c r="H156" s="36">
        <v>2250</v>
      </c>
      <c r="I156" s="36">
        <v>900</v>
      </c>
      <c r="J156" s="36">
        <v>141</v>
      </c>
      <c r="K156" s="8">
        <v>2250</v>
      </c>
      <c r="L156" s="8">
        <v>900</v>
      </c>
    </row>
    <row r="157" spans="2:12" x14ac:dyDescent="0.25">
      <c r="B157" s="1">
        <v>154</v>
      </c>
      <c r="C157" s="1">
        <v>1310</v>
      </c>
      <c r="D157" s="8">
        <v>157</v>
      </c>
      <c r="E157" s="36">
        <v>2250</v>
      </c>
      <c r="F157" s="36">
        <v>1030</v>
      </c>
      <c r="G157" s="36">
        <v>181</v>
      </c>
      <c r="H157" s="36">
        <v>2235</v>
      </c>
      <c r="I157" s="36">
        <v>895</v>
      </c>
      <c r="J157" s="36">
        <v>154</v>
      </c>
      <c r="K157" s="8">
        <v>2235</v>
      </c>
      <c r="L157" s="8">
        <v>900</v>
      </c>
    </row>
    <row r="158" spans="2:12" x14ac:dyDescent="0.25">
      <c r="B158" s="1">
        <v>155</v>
      </c>
      <c r="C158" s="1">
        <v>1311</v>
      </c>
      <c r="D158" s="8">
        <v>168</v>
      </c>
      <c r="E158" s="36">
        <v>2300</v>
      </c>
      <c r="F158" s="36">
        <v>1030</v>
      </c>
      <c r="G158" s="36">
        <v>147</v>
      </c>
      <c r="H158" s="36">
        <v>2300</v>
      </c>
      <c r="I158" s="36">
        <v>900</v>
      </c>
      <c r="J158" s="38">
        <v>120</v>
      </c>
      <c r="K158" s="37">
        <v>2260</v>
      </c>
      <c r="L158" s="1">
        <v>900</v>
      </c>
    </row>
    <row r="159" spans="2:12" x14ac:dyDescent="0.25">
      <c r="B159" s="1">
        <v>156</v>
      </c>
      <c r="C159" s="1">
        <v>1312</v>
      </c>
      <c r="D159" s="8">
        <v>175</v>
      </c>
      <c r="E159" s="36">
        <v>2300</v>
      </c>
      <c r="F159" s="36">
        <v>1030</v>
      </c>
      <c r="G159" s="36">
        <v>154</v>
      </c>
      <c r="H159" s="36">
        <v>2300</v>
      </c>
      <c r="I159" s="36">
        <v>903</v>
      </c>
      <c r="J159" s="36">
        <v>120</v>
      </c>
      <c r="K159" s="8">
        <v>2300</v>
      </c>
      <c r="L159" s="8">
        <v>900</v>
      </c>
    </row>
    <row r="160" spans="2:12" x14ac:dyDescent="0.25">
      <c r="B160" s="1">
        <v>157</v>
      </c>
      <c r="C160" s="1">
        <v>1401</v>
      </c>
      <c r="D160" s="48">
        <v>149</v>
      </c>
      <c r="E160" s="49">
        <v>2275</v>
      </c>
      <c r="F160" s="49">
        <v>1025</v>
      </c>
      <c r="G160" s="48">
        <v>150</v>
      </c>
      <c r="H160" s="48">
        <v>2260</v>
      </c>
      <c r="I160" s="48">
        <v>900</v>
      </c>
      <c r="J160" s="48">
        <v>147</v>
      </c>
      <c r="K160" s="48">
        <v>2270</v>
      </c>
      <c r="L160" s="48">
        <v>900</v>
      </c>
    </row>
    <row r="161" spans="2:12" x14ac:dyDescent="0.25">
      <c r="B161" s="1">
        <v>158</v>
      </c>
      <c r="C161" s="1">
        <v>1402</v>
      </c>
      <c r="D161" s="48">
        <v>143</v>
      </c>
      <c r="E161" s="49">
        <v>2270</v>
      </c>
      <c r="F161" s="49">
        <v>1030</v>
      </c>
      <c r="G161" s="48">
        <v>150</v>
      </c>
      <c r="H161" s="48">
        <v>2260</v>
      </c>
      <c r="I161" s="48">
        <v>900</v>
      </c>
      <c r="J161" s="48">
        <v>147</v>
      </c>
      <c r="K161" s="48">
        <v>2260</v>
      </c>
      <c r="L161" s="48">
        <v>900</v>
      </c>
    </row>
    <row r="162" spans="2:12" x14ac:dyDescent="0.25">
      <c r="B162" s="1">
        <v>159</v>
      </c>
      <c r="C162" s="1">
        <v>1403</v>
      </c>
      <c r="D162" s="48">
        <v>156</v>
      </c>
      <c r="E162" s="49">
        <v>2290</v>
      </c>
      <c r="F162" s="49">
        <v>1025</v>
      </c>
      <c r="G162" s="48">
        <v>140</v>
      </c>
      <c r="H162" s="48">
        <v>2290</v>
      </c>
      <c r="I162" s="48">
        <v>882</v>
      </c>
      <c r="J162" s="48">
        <v>150</v>
      </c>
      <c r="K162" s="48">
        <v>2285</v>
      </c>
      <c r="L162" s="48">
        <v>896</v>
      </c>
    </row>
    <row r="163" spans="2:12" x14ac:dyDescent="0.25">
      <c r="B163" s="1">
        <v>160</v>
      </c>
      <c r="C163" s="1">
        <v>1404</v>
      </c>
      <c r="D163" s="48">
        <v>150</v>
      </c>
      <c r="E163" s="49">
        <v>2285</v>
      </c>
      <c r="F163" s="49">
        <v>1027</v>
      </c>
      <c r="G163" s="48">
        <v>164</v>
      </c>
      <c r="H163" s="48">
        <v>2285</v>
      </c>
      <c r="I163" s="48">
        <v>900</v>
      </c>
      <c r="J163" s="48">
        <v>162</v>
      </c>
      <c r="K163" s="48">
        <v>2300</v>
      </c>
      <c r="L163" s="48">
        <v>892</v>
      </c>
    </row>
    <row r="164" spans="2:12" x14ac:dyDescent="0.25">
      <c r="B164" s="1">
        <v>161</v>
      </c>
      <c r="C164" s="1">
        <v>1405</v>
      </c>
      <c r="D164" s="48">
        <v>153</v>
      </c>
      <c r="E164" s="49">
        <v>2275</v>
      </c>
      <c r="F164" s="49">
        <v>1010</v>
      </c>
      <c r="G164" s="48">
        <v>161</v>
      </c>
      <c r="H164" s="48">
        <v>2280</v>
      </c>
      <c r="I164" s="48">
        <v>883</v>
      </c>
      <c r="J164" s="48">
        <v>144</v>
      </c>
      <c r="K164" s="48">
        <v>2275</v>
      </c>
      <c r="L164" s="48">
        <v>888</v>
      </c>
    </row>
    <row r="165" spans="2:12" x14ac:dyDescent="0.25">
      <c r="B165" s="1">
        <v>162</v>
      </c>
      <c r="C165" s="1">
        <v>1406</v>
      </c>
      <c r="D165" s="21">
        <v>220</v>
      </c>
      <c r="E165" s="35">
        <v>2262</v>
      </c>
      <c r="F165" s="35">
        <v>1025</v>
      </c>
      <c r="G165" s="35">
        <v>145</v>
      </c>
      <c r="H165" s="35">
        <v>2265</v>
      </c>
      <c r="I165" s="35">
        <v>900</v>
      </c>
      <c r="J165" s="35">
        <v>142</v>
      </c>
      <c r="K165" s="21">
        <v>2265</v>
      </c>
      <c r="L165" s="21">
        <v>900</v>
      </c>
    </row>
    <row r="166" spans="2:12" x14ac:dyDescent="0.25">
      <c r="B166" s="1">
        <v>163</v>
      </c>
      <c r="C166" s="1">
        <v>1407</v>
      </c>
      <c r="D166" s="21">
        <v>150</v>
      </c>
      <c r="E166" s="35">
        <v>2260</v>
      </c>
      <c r="F166" s="35">
        <v>1030</v>
      </c>
      <c r="G166" s="35">
        <v>175</v>
      </c>
      <c r="H166" s="35">
        <v>2255</v>
      </c>
      <c r="I166" s="35">
        <v>900</v>
      </c>
      <c r="J166" s="35">
        <v>151</v>
      </c>
      <c r="K166" s="21">
        <v>2255</v>
      </c>
      <c r="L166" s="21">
        <v>900</v>
      </c>
    </row>
    <row r="167" spans="2:12" x14ac:dyDescent="0.25">
      <c r="B167" s="1">
        <v>164</v>
      </c>
      <c r="C167" s="1">
        <v>1408</v>
      </c>
      <c r="D167" s="21">
        <v>143</v>
      </c>
      <c r="E167" s="35">
        <v>2265</v>
      </c>
      <c r="F167" s="35">
        <v>1025</v>
      </c>
      <c r="G167" s="35">
        <v>143</v>
      </c>
      <c r="H167" s="35">
        <v>2246</v>
      </c>
      <c r="I167" s="35">
        <v>900</v>
      </c>
      <c r="J167" s="35">
        <v>147</v>
      </c>
      <c r="K167" s="21">
        <v>2250</v>
      </c>
      <c r="L167" s="21">
        <v>900</v>
      </c>
    </row>
    <row r="168" spans="2:12" x14ac:dyDescent="0.25">
      <c r="B168" s="1">
        <v>165</v>
      </c>
      <c r="C168" s="1">
        <v>1409</v>
      </c>
      <c r="D168" s="21">
        <v>145</v>
      </c>
      <c r="E168" s="35">
        <v>2260</v>
      </c>
      <c r="F168" s="35">
        <v>1030</v>
      </c>
      <c r="G168" s="35">
        <v>145</v>
      </c>
      <c r="H168" s="35">
        <v>2260</v>
      </c>
      <c r="I168" s="35">
        <v>900</v>
      </c>
      <c r="J168" s="35">
        <v>115</v>
      </c>
      <c r="K168" s="21">
        <v>2260</v>
      </c>
      <c r="L168" s="21">
        <v>900</v>
      </c>
    </row>
    <row r="169" spans="2:12" x14ac:dyDescent="0.25">
      <c r="B169" s="1">
        <v>166</v>
      </c>
      <c r="C169" s="1">
        <v>1410</v>
      </c>
      <c r="D169" s="21">
        <v>150</v>
      </c>
      <c r="E169" s="35">
        <v>2260</v>
      </c>
      <c r="F169" s="35">
        <v>1025</v>
      </c>
      <c r="G169" s="35">
        <v>147</v>
      </c>
      <c r="H169" s="35">
        <v>2227</v>
      </c>
      <c r="I169" s="35">
        <v>895</v>
      </c>
      <c r="J169" s="35">
        <v>119</v>
      </c>
      <c r="K169" s="21">
        <v>2230</v>
      </c>
      <c r="L169" s="21">
        <v>900</v>
      </c>
    </row>
    <row r="170" spans="2:12" x14ac:dyDescent="0.25">
      <c r="B170" s="1">
        <v>167</v>
      </c>
      <c r="C170" s="1">
        <v>1411</v>
      </c>
      <c r="D170" s="21">
        <v>151</v>
      </c>
      <c r="E170" s="35">
        <v>2245</v>
      </c>
      <c r="F170" s="35">
        <v>1030</v>
      </c>
      <c r="G170" s="35">
        <v>165</v>
      </c>
      <c r="H170" s="35">
        <v>2245</v>
      </c>
      <c r="I170" s="35">
        <v>900</v>
      </c>
      <c r="J170" s="35">
        <v>151</v>
      </c>
      <c r="K170" s="21">
        <v>2245</v>
      </c>
      <c r="L170" s="21">
        <v>900</v>
      </c>
    </row>
    <row r="171" spans="2:12" x14ac:dyDescent="0.25">
      <c r="B171" s="1">
        <v>168</v>
      </c>
      <c r="C171" s="1">
        <v>1412</v>
      </c>
      <c r="D171" s="21">
        <v>155</v>
      </c>
      <c r="E171" s="35">
        <v>2245</v>
      </c>
      <c r="F171" s="35">
        <v>1030</v>
      </c>
      <c r="G171" s="35">
        <v>158</v>
      </c>
      <c r="H171" s="35">
        <v>2270</v>
      </c>
      <c r="I171" s="35">
        <v>900</v>
      </c>
      <c r="J171" s="35">
        <v>145</v>
      </c>
      <c r="K171" s="21">
        <v>2270</v>
      </c>
      <c r="L171" s="21">
        <v>895</v>
      </c>
    </row>
    <row r="172" spans="2:12" x14ac:dyDescent="0.25">
      <c r="B172" s="1">
        <v>169</v>
      </c>
      <c r="C172" s="1">
        <v>1501</v>
      </c>
      <c r="D172" s="21">
        <v>149</v>
      </c>
      <c r="E172" s="35">
        <v>2240</v>
      </c>
      <c r="F172" s="35">
        <v>1022</v>
      </c>
      <c r="G172" s="35">
        <v>159</v>
      </c>
      <c r="H172" s="35">
        <v>2225</v>
      </c>
      <c r="I172" s="35">
        <v>905</v>
      </c>
      <c r="J172" s="35">
        <v>146</v>
      </c>
      <c r="K172" s="21">
        <v>2225</v>
      </c>
      <c r="L172" s="21">
        <v>896</v>
      </c>
    </row>
    <row r="173" spans="2:12" x14ac:dyDescent="0.25">
      <c r="B173" s="1">
        <v>170</v>
      </c>
      <c r="C173" s="1">
        <v>1502</v>
      </c>
      <c r="D173" s="21">
        <v>147</v>
      </c>
      <c r="E173" s="35">
        <v>2240</v>
      </c>
      <c r="F173" s="35">
        <v>1020</v>
      </c>
      <c r="G173" s="35">
        <v>155</v>
      </c>
      <c r="H173" s="35">
        <v>2230</v>
      </c>
      <c r="I173" s="35">
        <v>900</v>
      </c>
      <c r="J173" s="35">
        <v>147</v>
      </c>
      <c r="K173" s="21">
        <v>2242</v>
      </c>
      <c r="L173" s="21">
        <v>900</v>
      </c>
    </row>
    <row r="174" spans="2:12" x14ac:dyDescent="0.25">
      <c r="B174" s="1">
        <v>171</v>
      </c>
      <c r="C174" s="1">
        <v>1503</v>
      </c>
      <c r="D174" s="21">
        <v>155</v>
      </c>
      <c r="E174" s="35">
        <v>2222</v>
      </c>
      <c r="F174" s="35">
        <v>1022</v>
      </c>
      <c r="G174" s="35">
        <v>158</v>
      </c>
      <c r="H174" s="35">
        <v>2240</v>
      </c>
      <c r="I174" s="35">
        <v>895</v>
      </c>
      <c r="J174" s="35">
        <v>150</v>
      </c>
      <c r="K174" s="21">
        <v>2250</v>
      </c>
      <c r="L174" s="21">
        <v>900</v>
      </c>
    </row>
    <row r="175" spans="2:12" x14ac:dyDescent="0.25">
      <c r="B175" s="1">
        <v>172</v>
      </c>
      <c r="C175" s="1">
        <v>1504</v>
      </c>
      <c r="D175" s="21">
        <v>146</v>
      </c>
      <c r="E175" s="35">
        <v>2225</v>
      </c>
      <c r="F175" s="35">
        <v>1020</v>
      </c>
      <c r="G175" s="35">
        <v>141</v>
      </c>
      <c r="H175" s="35">
        <v>2230</v>
      </c>
      <c r="I175" s="35">
        <v>893</v>
      </c>
      <c r="J175" s="35">
        <v>144</v>
      </c>
      <c r="K175" s="21">
        <v>2232</v>
      </c>
      <c r="L175" s="21">
        <v>890</v>
      </c>
    </row>
    <row r="176" spans="2:12" x14ac:dyDescent="0.25">
      <c r="B176" s="1">
        <v>173</v>
      </c>
      <c r="C176" s="1">
        <v>1505</v>
      </c>
      <c r="D176" s="52">
        <v>145</v>
      </c>
      <c r="E176" s="52">
        <v>2225</v>
      </c>
      <c r="F176" s="52">
        <v>1015</v>
      </c>
      <c r="G176" s="35">
        <v>143</v>
      </c>
      <c r="H176" s="35">
        <v>2230</v>
      </c>
      <c r="I176" s="35">
        <v>900</v>
      </c>
      <c r="J176" s="35">
        <v>144</v>
      </c>
      <c r="K176" s="21">
        <v>2220</v>
      </c>
      <c r="L176" s="21">
        <v>895</v>
      </c>
    </row>
    <row r="177" spans="2:12" x14ac:dyDescent="0.25">
      <c r="B177" s="1">
        <v>174</v>
      </c>
      <c r="C177" s="1">
        <v>1506</v>
      </c>
      <c r="D177" s="21">
        <v>230</v>
      </c>
      <c r="E177" s="35">
        <v>2235</v>
      </c>
      <c r="F177" s="35">
        <v>1025</v>
      </c>
      <c r="G177" s="52">
        <v>145</v>
      </c>
      <c r="H177" s="52">
        <v>2235</v>
      </c>
      <c r="I177" s="52">
        <v>890</v>
      </c>
      <c r="J177" s="35">
        <v>153</v>
      </c>
      <c r="K177" s="21">
        <v>2230</v>
      </c>
      <c r="L177" s="21">
        <v>892</v>
      </c>
    </row>
    <row r="178" spans="2:12" x14ac:dyDescent="0.25">
      <c r="B178" s="1">
        <v>175</v>
      </c>
      <c r="C178" s="1">
        <v>1507</v>
      </c>
      <c r="D178" s="21">
        <v>153</v>
      </c>
      <c r="E178" s="35">
        <v>2235</v>
      </c>
      <c r="F178" s="35">
        <v>1027</v>
      </c>
      <c r="G178" s="35">
        <v>188</v>
      </c>
      <c r="H178" s="35">
        <v>2245</v>
      </c>
      <c r="I178" s="35">
        <v>900</v>
      </c>
      <c r="J178" s="35">
        <v>147</v>
      </c>
      <c r="K178" s="21">
        <v>2245</v>
      </c>
      <c r="L178" s="21">
        <v>900</v>
      </c>
    </row>
    <row r="179" spans="2:12" x14ac:dyDescent="0.25">
      <c r="B179" s="1">
        <v>176</v>
      </c>
      <c r="C179" s="1">
        <v>1508</v>
      </c>
      <c r="D179" s="21">
        <v>152</v>
      </c>
      <c r="E179" s="35">
        <v>2230</v>
      </c>
      <c r="F179" s="35">
        <v>1050</v>
      </c>
      <c r="G179" s="35">
        <v>139</v>
      </c>
      <c r="H179" s="35">
        <v>2235</v>
      </c>
      <c r="I179" s="35">
        <v>900</v>
      </c>
      <c r="J179" s="35">
        <v>141</v>
      </c>
      <c r="K179" s="21">
        <v>2235</v>
      </c>
      <c r="L179" s="21">
        <v>900</v>
      </c>
    </row>
    <row r="180" spans="2:12" x14ac:dyDescent="0.25">
      <c r="B180" s="1">
        <v>177</v>
      </c>
      <c r="C180" s="1">
        <v>1509</v>
      </c>
      <c r="D180" s="21">
        <v>154</v>
      </c>
      <c r="E180" s="35">
        <v>2245</v>
      </c>
      <c r="F180" s="35">
        <v>1030</v>
      </c>
      <c r="G180" s="35">
        <v>140</v>
      </c>
      <c r="H180" s="35">
        <v>2240</v>
      </c>
      <c r="I180" s="35">
        <v>903</v>
      </c>
      <c r="J180" s="52">
        <v>115</v>
      </c>
      <c r="K180" s="52">
        <v>2240</v>
      </c>
      <c r="L180" s="52">
        <v>900</v>
      </c>
    </row>
    <row r="181" spans="2:12" x14ac:dyDescent="0.25">
      <c r="B181" s="1">
        <v>178</v>
      </c>
      <c r="C181" s="1">
        <v>1510</v>
      </c>
      <c r="D181" s="21">
        <v>148</v>
      </c>
      <c r="E181" s="35">
        <v>2240</v>
      </c>
      <c r="F181" s="35">
        <v>1026</v>
      </c>
      <c r="G181" s="35">
        <v>150</v>
      </c>
      <c r="H181" s="35">
        <v>2245</v>
      </c>
      <c r="I181" s="35">
        <v>900</v>
      </c>
      <c r="J181" s="35">
        <v>110</v>
      </c>
      <c r="K181" s="21">
        <v>2245</v>
      </c>
      <c r="L181" s="21">
        <v>900</v>
      </c>
    </row>
    <row r="182" spans="2:12" x14ac:dyDescent="0.25">
      <c r="B182" s="1">
        <v>179</v>
      </c>
      <c r="C182" s="1">
        <v>1511</v>
      </c>
      <c r="D182" s="21">
        <v>145</v>
      </c>
      <c r="E182" s="35">
        <v>2225</v>
      </c>
      <c r="F182" s="35">
        <v>1030</v>
      </c>
      <c r="G182" s="35">
        <v>155</v>
      </c>
      <c r="H182" s="35">
        <v>2235</v>
      </c>
      <c r="I182" s="35">
        <v>902</v>
      </c>
      <c r="J182" s="35">
        <v>147</v>
      </c>
      <c r="K182" s="21">
        <v>2225</v>
      </c>
      <c r="L182" s="21">
        <v>896</v>
      </c>
    </row>
    <row r="183" spans="2:12" x14ac:dyDescent="0.25">
      <c r="B183" s="1">
        <v>180</v>
      </c>
      <c r="C183" s="1">
        <v>1512</v>
      </c>
      <c r="D183" s="21">
        <v>145</v>
      </c>
      <c r="E183" s="35">
        <v>2235</v>
      </c>
      <c r="F183" s="35">
        <v>1025</v>
      </c>
      <c r="G183" s="35">
        <v>146</v>
      </c>
      <c r="H183" s="35">
        <v>2245</v>
      </c>
      <c r="I183" s="35">
        <v>900</v>
      </c>
      <c r="J183" s="35">
        <v>153</v>
      </c>
      <c r="K183" s="21">
        <v>2240</v>
      </c>
      <c r="L183" s="21">
        <v>900</v>
      </c>
    </row>
    <row r="184" spans="2:12" x14ac:dyDescent="0.25">
      <c r="B184" s="10">
        <v>181</v>
      </c>
      <c r="C184" s="10">
        <v>1601</v>
      </c>
      <c r="D184" s="21">
        <v>145</v>
      </c>
      <c r="E184" s="35">
        <v>2230</v>
      </c>
      <c r="F184" s="35">
        <v>1042</v>
      </c>
      <c r="G184" s="35">
        <v>150</v>
      </c>
      <c r="H184" s="35">
        <v>2230</v>
      </c>
      <c r="I184" s="35">
        <v>897</v>
      </c>
      <c r="J184" s="35">
        <v>152</v>
      </c>
      <c r="K184" s="21">
        <v>2235</v>
      </c>
      <c r="L184" s="21">
        <v>895</v>
      </c>
    </row>
    <row r="185" spans="2:12" x14ac:dyDescent="0.25">
      <c r="B185" s="10">
        <v>182</v>
      </c>
      <c r="C185" s="10">
        <v>1602</v>
      </c>
      <c r="D185" s="21">
        <v>146</v>
      </c>
      <c r="E185" s="35">
        <v>2225</v>
      </c>
      <c r="F185" s="35">
        <v>1015</v>
      </c>
      <c r="G185" s="35">
        <v>165</v>
      </c>
      <c r="H185" s="35">
        <v>2235</v>
      </c>
      <c r="I185" s="35">
        <v>895</v>
      </c>
      <c r="J185" s="35">
        <v>150</v>
      </c>
      <c r="K185" s="21">
        <v>2235</v>
      </c>
      <c r="L185" s="21">
        <v>888</v>
      </c>
    </row>
    <row r="186" spans="2:12" x14ac:dyDescent="0.25">
      <c r="B186" s="10">
        <v>183</v>
      </c>
      <c r="C186" s="10">
        <v>1603</v>
      </c>
      <c r="D186" s="21">
        <v>152</v>
      </c>
      <c r="E186" s="35">
        <v>2230</v>
      </c>
      <c r="F186" s="35">
        <v>1030</v>
      </c>
      <c r="G186" s="35">
        <v>146</v>
      </c>
      <c r="H186" s="35">
        <v>2245</v>
      </c>
      <c r="I186" s="35">
        <v>892</v>
      </c>
      <c r="J186" s="35">
        <v>153</v>
      </c>
      <c r="K186" s="21">
        <v>2250</v>
      </c>
      <c r="L186" s="21">
        <v>895</v>
      </c>
    </row>
    <row r="187" spans="2:12" x14ac:dyDescent="0.25">
      <c r="B187" s="10">
        <v>184</v>
      </c>
      <c r="C187" s="10">
        <v>1604</v>
      </c>
      <c r="D187" s="21">
        <v>147</v>
      </c>
      <c r="E187" s="35">
        <v>2240</v>
      </c>
      <c r="F187" s="35">
        <v>1025</v>
      </c>
      <c r="G187" s="35">
        <v>152</v>
      </c>
      <c r="H187" s="35">
        <v>2250</v>
      </c>
      <c r="I187" s="35">
        <v>885</v>
      </c>
      <c r="J187" s="35">
        <v>152</v>
      </c>
      <c r="K187" s="21">
        <v>2250</v>
      </c>
      <c r="L187" s="21">
        <v>883</v>
      </c>
    </row>
    <row r="188" spans="2:12" x14ac:dyDescent="0.25">
      <c r="B188" s="10">
        <v>185</v>
      </c>
      <c r="C188" s="10">
        <v>1605</v>
      </c>
      <c r="D188" s="21">
        <v>179</v>
      </c>
      <c r="E188" s="35">
        <v>2225</v>
      </c>
      <c r="F188" s="35">
        <v>1015</v>
      </c>
      <c r="G188" s="35">
        <v>152</v>
      </c>
      <c r="H188" s="35">
        <v>2240</v>
      </c>
      <c r="I188" s="35">
        <v>900</v>
      </c>
      <c r="J188" s="35">
        <v>152</v>
      </c>
      <c r="K188" s="21">
        <v>2240</v>
      </c>
      <c r="L188" s="21">
        <v>897</v>
      </c>
    </row>
    <row r="189" spans="2:12" x14ac:dyDescent="0.25">
      <c r="B189" s="10">
        <v>186</v>
      </c>
      <c r="C189" s="10">
        <v>1606</v>
      </c>
      <c r="D189" s="21">
        <v>215</v>
      </c>
      <c r="E189" s="35">
        <v>2235</v>
      </c>
      <c r="F189" s="35">
        <v>1025</v>
      </c>
      <c r="G189" s="52">
        <v>150</v>
      </c>
      <c r="H189" s="52">
        <v>2245</v>
      </c>
      <c r="I189" s="52">
        <v>885</v>
      </c>
      <c r="J189" s="35">
        <v>147</v>
      </c>
      <c r="K189" s="21">
        <v>2245</v>
      </c>
      <c r="L189" s="21">
        <v>890</v>
      </c>
    </row>
    <row r="190" spans="2:12" x14ac:dyDescent="0.25">
      <c r="B190" s="10">
        <v>187</v>
      </c>
      <c r="C190" s="10">
        <v>1607</v>
      </c>
      <c r="D190" s="21">
        <v>143</v>
      </c>
      <c r="E190" s="35">
        <v>2235</v>
      </c>
      <c r="F190" s="35">
        <v>1030</v>
      </c>
      <c r="G190" s="35">
        <v>153</v>
      </c>
      <c r="H190" s="35">
        <v>2240</v>
      </c>
      <c r="I190" s="35">
        <v>900</v>
      </c>
      <c r="J190" s="35">
        <v>148</v>
      </c>
      <c r="K190" s="21">
        <v>2240</v>
      </c>
      <c r="L190" s="21">
        <v>900</v>
      </c>
    </row>
    <row r="191" spans="2:12" x14ac:dyDescent="0.25">
      <c r="B191" s="10">
        <v>188</v>
      </c>
      <c r="C191" s="10">
        <v>1608</v>
      </c>
      <c r="D191" s="21">
        <v>156</v>
      </c>
      <c r="E191" s="35">
        <v>2260</v>
      </c>
      <c r="F191" s="35">
        <v>1020</v>
      </c>
      <c r="G191" s="35">
        <v>142</v>
      </c>
      <c r="H191" s="35">
        <v>2260</v>
      </c>
      <c r="I191" s="35">
        <v>900</v>
      </c>
      <c r="J191" s="35">
        <v>139</v>
      </c>
      <c r="K191" s="21">
        <v>2260</v>
      </c>
      <c r="L191" s="21">
        <v>897</v>
      </c>
    </row>
    <row r="192" spans="2:12" x14ac:dyDescent="0.25">
      <c r="B192" s="10">
        <v>189</v>
      </c>
      <c r="C192" s="10">
        <v>1609</v>
      </c>
      <c r="D192" s="21">
        <v>153</v>
      </c>
      <c r="E192" s="35">
        <v>2250</v>
      </c>
      <c r="F192" s="35">
        <v>1020</v>
      </c>
      <c r="G192" s="35">
        <v>145</v>
      </c>
      <c r="H192" s="35">
        <v>2255</v>
      </c>
      <c r="I192" s="35">
        <v>900</v>
      </c>
      <c r="J192" s="52">
        <v>120</v>
      </c>
      <c r="K192" s="52">
        <v>2250</v>
      </c>
      <c r="L192" s="52">
        <v>910</v>
      </c>
    </row>
    <row r="193" spans="2:12" x14ac:dyDescent="0.25">
      <c r="B193" s="10">
        <v>190</v>
      </c>
      <c r="C193" s="10">
        <v>1610</v>
      </c>
      <c r="D193" s="21">
        <v>152</v>
      </c>
      <c r="E193" s="35">
        <v>2260</v>
      </c>
      <c r="F193" s="35">
        <v>1030</v>
      </c>
      <c r="G193" s="35">
        <v>140</v>
      </c>
      <c r="H193" s="35">
        <v>2300</v>
      </c>
      <c r="I193" s="35">
        <v>900</v>
      </c>
      <c r="J193" s="35">
        <v>112</v>
      </c>
      <c r="K193" s="21">
        <v>2300</v>
      </c>
      <c r="L193" s="21">
        <v>900</v>
      </c>
    </row>
    <row r="194" spans="2:12" x14ac:dyDescent="0.25">
      <c r="B194" s="10">
        <v>191</v>
      </c>
      <c r="C194" s="10">
        <v>1611</v>
      </c>
      <c r="D194" s="21">
        <v>152</v>
      </c>
      <c r="E194" s="35">
        <v>2235</v>
      </c>
      <c r="F194" s="35">
        <v>1030</v>
      </c>
      <c r="G194" s="35">
        <v>150</v>
      </c>
      <c r="H194" s="35">
        <v>2255</v>
      </c>
      <c r="I194" s="35">
        <v>896</v>
      </c>
      <c r="J194" s="35">
        <v>144</v>
      </c>
      <c r="K194" s="21">
        <v>2255</v>
      </c>
      <c r="L194" s="21">
        <v>896</v>
      </c>
    </row>
    <row r="195" spans="2:12" x14ac:dyDescent="0.25">
      <c r="B195" s="10">
        <v>192</v>
      </c>
      <c r="C195" s="10">
        <v>1612</v>
      </c>
      <c r="D195" s="21">
        <v>152</v>
      </c>
      <c r="E195" s="35">
        <v>2240</v>
      </c>
      <c r="F195" s="35">
        <v>1030</v>
      </c>
      <c r="G195" s="35">
        <v>145</v>
      </c>
      <c r="H195" s="35">
        <v>2245</v>
      </c>
      <c r="I195" s="35">
        <v>900</v>
      </c>
      <c r="J195" s="35">
        <v>147</v>
      </c>
      <c r="K195" s="21">
        <v>2245</v>
      </c>
      <c r="L195" s="21">
        <v>900</v>
      </c>
    </row>
    <row r="196" spans="2:12" x14ac:dyDescent="0.25">
      <c r="B196" s="6"/>
      <c r="C196" s="6"/>
      <c r="D196" s="6">
        <f>COUNT(D28:D195)</f>
        <v>167</v>
      </c>
      <c r="E196" s="43"/>
      <c r="F196" s="43"/>
      <c r="G196" s="43"/>
      <c r="H196" s="43"/>
      <c r="I196" s="43"/>
      <c r="J196" s="43"/>
      <c r="K196" s="6"/>
      <c r="L196" s="20"/>
    </row>
    <row r="197" spans="2:12" x14ac:dyDescent="0.25">
      <c r="B197" s="6"/>
      <c r="C197" s="6"/>
      <c r="D197" s="6"/>
      <c r="E197" s="43"/>
      <c r="F197" s="43"/>
      <c r="G197" s="43"/>
      <c r="H197" s="43"/>
      <c r="I197" s="43"/>
      <c r="J197" s="43"/>
      <c r="K197" s="6"/>
      <c r="L197" s="20"/>
    </row>
    <row r="198" spans="2:12" x14ac:dyDescent="0.25">
      <c r="B198" s="6"/>
      <c r="C198" s="6"/>
      <c r="D198" s="37"/>
      <c r="E198" s="38"/>
      <c r="F198" s="38" t="s">
        <v>30</v>
      </c>
      <c r="G198" s="38"/>
      <c r="H198" s="38"/>
      <c r="I198" s="38"/>
      <c r="J198" s="38"/>
      <c r="K198" s="6"/>
      <c r="L198" s="20"/>
    </row>
    <row r="199" spans="2:12" x14ac:dyDescent="0.25">
      <c r="B199" s="6"/>
      <c r="C199" s="6"/>
      <c r="D199" s="37" t="s">
        <v>37</v>
      </c>
      <c r="E199" s="38" t="s">
        <v>38</v>
      </c>
      <c r="F199" s="38" t="s">
        <v>32</v>
      </c>
      <c r="G199" s="38" t="s">
        <v>4</v>
      </c>
      <c r="H199" s="38" t="s">
        <v>33</v>
      </c>
      <c r="I199" s="42" t="s">
        <v>34</v>
      </c>
      <c r="J199" s="42" t="s">
        <v>11</v>
      </c>
      <c r="K199" s="6"/>
      <c r="L199" s="20"/>
    </row>
    <row r="200" spans="2:12" x14ac:dyDescent="0.25">
      <c r="B200" s="6"/>
      <c r="C200" s="6"/>
      <c r="D200" s="37" t="s">
        <v>31</v>
      </c>
      <c r="E200" s="38">
        <v>98</v>
      </c>
      <c r="F200" s="38">
        <v>121</v>
      </c>
      <c r="G200" s="38"/>
      <c r="H200" s="38"/>
      <c r="I200" s="38"/>
      <c r="J200" s="38"/>
      <c r="K200" s="6"/>
      <c r="L200" s="20"/>
    </row>
    <row r="201" spans="2:12" x14ac:dyDescent="0.25">
      <c r="B201" s="6"/>
      <c r="C201" s="6"/>
      <c r="D201" s="37" t="s">
        <v>35</v>
      </c>
      <c r="E201" s="38">
        <v>155</v>
      </c>
      <c r="F201" s="38"/>
      <c r="G201" s="38"/>
      <c r="H201" s="38"/>
      <c r="I201" s="38"/>
      <c r="J201" s="38">
        <v>175</v>
      </c>
      <c r="K201" s="6"/>
      <c r="L201" s="20"/>
    </row>
    <row r="202" spans="2:12" x14ac:dyDescent="0.25">
      <c r="B202" s="6"/>
      <c r="C202" s="6"/>
      <c r="D202" s="37" t="s">
        <v>42</v>
      </c>
      <c r="E202" s="38">
        <v>181</v>
      </c>
      <c r="F202" s="38">
        <v>1</v>
      </c>
      <c r="G202" s="38">
        <v>1</v>
      </c>
      <c r="H202" s="38">
        <v>2</v>
      </c>
      <c r="I202" s="38">
        <v>2</v>
      </c>
      <c r="J202" s="38">
        <v>2</v>
      </c>
      <c r="K202" s="6"/>
      <c r="L202" s="20"/>
    </row>
    <row r="203" spans="2:12" x14ac:dyDescent="0.25">
      <c r="B203" s="6"/>
      <c r="C203" s="6"/>
      <c r="D203" s="80" t="s">
        <v>36</v>
      </c>
      <c r="E203" s="81">
        <v>187</v>
      </c>
      <c r="F203" s="81"/>
      <c r="G203" s="81">
        <v>18</v>
      </c>
      <c r="H203" s="81"/>
      <c r="I203" s="81"/>
      <c r="J203" s="81">
        <v>47</v>
      </c>
      <c r="K203" s="6"/>
      <c r="L203" s="20"/>
    </row>
    <row r="204" spans="2:12" x14ac:dyDescent="0.25">
      <c r="B204" s="6"/>
      <c r="C204" s="6"/>
      <c r="D204" s="37" t="s">
        <v>36</v>
      </c>
      <c r="E204" s="38">
        <v>188</v>
      </c>
      <c r="F204" s="38"/>
      <c r="G204" s="38"/>
      <c r="H204" s="36">
        <v>241</v>
      </c>
      <c r="I204" s="38"/>
      <c r="J204" s="38"/>
      <c r="K204" s="6"/>
      <c r="L204" s="20"/>
    </row>
    <row r="205" spans="2:12" x14ac:dyDescent="0.25">
      <c r="B205" s="6"/>
      <c r="C205" s="6"/>
      <c r="D205" s="37" t="s">
        <v>39</v>
      </c>
      <c r="E205" s="38">
        <v>190</v>
      </c>
      <c r="F205" s="38"/>
      <c r="G205" s="38"/>
      <c r="H205" s="38"/>
      <c r="I205" s="38"/>
      <c r="J205" s="42">
        <v>12</v>
      </c>
      <c r="K205" s="6"/>
      <c r="L205" s="20"/>
    </row>
    <row r="206" spans="2:12" x14ac:dyDescent="0.25">
      <c r="B206" s="6"/>
      <c r="C206" s="6"/>
      <c r="D206" s="37" t="s">
        <v>40</v>
      </c>
      <c r="E206" s="38" t="s">
        <v>41</v>
      </c>
      <c r="F206" s="38">
        <v>30</v>
      </c>
      <c r="G206" s="38">
        <v>22</v>
      </c>
      <c r="H206" s="38">
        <v>58</v>
      </c>
      <c r="I206" s="38"/>
      <c r="J206" s="38"/>
      <c r="K206" s="6"/>
      <c r="L206" s="20"/>
    </row>
    <row r="207" spans="2:12" x14ac:dyDescent="0.25">
      <c r="B207" s="6"/>
      <c r="C207" s="6"/>
      <c r="D207" s="80" t="s">
        <v>48</v>
      </c>
      <c r="E207" s="81">
        <v>281</v>
      </c>
      <c r="F207" s="81"/>
      <c r="G207" s="81">
        <v>30</v>
      </c>
      <c r="H207" s="81"/>
      <c r="I207" s="81">
        <v>177</v>
      </c>
      <c r="J207" s="81">
        <v>62</v>
      </c>
      <c r="K207" s="6"/>
      <c r="L207" s="20"/>
    </row>
    <row r="208" spans="2:12" x14ac:dyDescent="0.25">
      <c r="B208" s="6"/>
      <c r="C208" s="6"/>
      <c r="D208" s="80" t="s">
        <v>49</v>
      </c>
      <c r="E208" s="81">
        <v>334</v>
      </c>
      <c r="F208" s="81">
        <v>24</v>
      </c>
      <c r="G208" s="81"/>
      <c r="H208" s="81">
        <v>49</v>
      </c>
      <c r="I208" s="81"/>
      <c r="J208" s="81"/>
      <c r="K208" s="6"/>
      <c r="L208" s="20"/>
    </row>
    <row r="209" spans="2:12" x14ac:dyDescent="0.25">
      <c r="B209" s="6"/>
      <c r="C209" s="6"/>
      <c r="D209" s="80" t="s">
        <v>50</v>
      </c>
      <c r="E209" s="81">
        <v>335</v>
      </c>
      <c r="F209" s="81"/>
      <c r="G209" s="81">
        <v>65</v>
      </c>
      <c r="H209" s="81"/>
      <c r="I209" s="81">
        <v>114</v>
      </c>
      <c r="J209" s="81"/>
      <c r="K209" s="6"/>
      <c r="L209" s="20"/>
    </row>
    <row r="210" spans="2:12" x14ac:dyDescent="0.25">
      <c r="B210" s="6"/>
      <c r="C210" s="6"/>
      <c r="D210" s="80"/>
      <c r="E210" s="81"/>
      <c r="F210" s="81"/>
      <c r="G210" s="81"/>
      <c r="H210" s="81"/>
      <c r="I210" s="81"/>
      <c r="J210" s="81"/>
      <c r="K210" s="6"/>
      <c r="L210" s="20"/>
    </row>
    <row r="211" spans="2:12" x14ac:dyDescent="0.25">
      <c r="B211" s="6"/>
      <c r="C211" s="6"/>
      <c r="D211" s="45"/>
      <c r="E211" s="46" t="s">
        <v>30</v>
      </c>
      <c r="F211" s="46">
        <f>SUM(F200:F210)</f>
        <v>176</v>
      </c>
      <c r="G211" s="46">
        <f>SUM(G200:G210)</f>
        <v>136</v>
      </c>
      <c r="H211" s="46">
        <f>SUM(H200:H210)</f>
        <v>350</v>
      </c>
      <c r="I211" s="46">
        <f>SUM(I200:I210)</f>
        <v>293</v>
      </c>
      <c r="J211" s="46">
        <f>SUM(J200:J210)</f>
        <v>298</v>
      </c>
      <c r="K211" s="6"/>
      <c r="L211" s="20"/>
    </row>
    <row r="212" spans="2:12" x14ac:dyDescent="0.25">
      <c r="B212" s="6"/>
      <c r="C212" s="6"/>
      <c r="D212" s="45"/>
      <c r="E212" s="46" t="s">
        <v>43</v>
      </c>
      <c r="F212" s="46">
        <v>178</v>
      </c>
      <c r="G212" s="46">
        <v>178</v>
      </c>
      <c r="H212" s="46">
        <v>356</v>
      </c>
      <c r="I212" s="46">
        <v>356</v>
      </c>
      <c r="J212" s="46">
        <v>356</v>
      </c>
      <c r="K212" s="6"/>
      <c r="L212" s="20"/>
    </row>
    <row r="213" spans="2:12" x14ac:dyDescent="0.25">
      <c r="B213" s="6"/>
      <c r="C213" s="6"/>
      <c r="D213" s="45"/>
      <c r="E213" s="46" t="s">
        <v>44</v>
      </c>
      <c r="F213" s="46">
        <f>+F212-F211</f>
        <v>2</v>
      </c>
      <c r="G213" s="46">
        <f>+G212-G211</f>
        <v>42</v>
      </c>
      <c r="H213" s="46">
        <f>+H212-H211</f>
        <v>6</v>
      </c>
      <c r="I213" s="46">
        <f>+I212-I211</f>
        <v>63</v>
      </c>
      <c r="J213" s="46">
        <f>+J212-J211</f>
        <v>58</v>
      </c>
      <c r="K213" s="6"/>
      <c r="L213" s="20"/>
    </row>
    <row r="214" spans="2:12" x14ac:dyDescent="0.25">
      <c r="B214" s="6"/>
      <c r="C214" s="6"/>
      <c r="D214" s="6"/>
      <c r="E214" s="43"/>
      <c r="F214" s="43"/>
      <c r="G214" s="43"/>
      <c r="H214" s="43"/>
      <c r="I214" s="43"/>
      <c r="J214" s="43"/>
      <c r="K214" s="6"/>
      <c r="L214" s="20"/>
    </row>
    <row r="217" spans="2:12" x14ac:dyDescent="0.25">
      <c r="D217" s="114" t="s">
        <v>13</v>
      </c>
      <c r="E217" s="38" t="s">
        <v>4</v>
      </c>
      <c r="F217" s="38">
        <v>178</v>
      </c>
      <c r="G217" s="43">
        <f>+F217*2</f>
        <v>356</v>
      </c>
    </row>
    <row r="218" spans="2:12" x14ac:dyDescent="0.25">
      <c r="D218" s="116"/>
      <c r="E218" s="38" t="s">
        <v>10</v>
      </c>
      <c r="F218" s="38">
        <f>F217*2</f>
        <v>356</v>
      </c>
      <c r="G218" s="43">
        <f>+F218*2</f>
        <v>712</v>
      </c>
    </row>
    <row r="219" spans="2:12" x14ac:dyDescent="0.25">
      <c r="D219" s="115"/>
      <c r="E219" s="38" t="s">
        <v>11</v>
      </c>
      <c r="F219" s="38">
        <f>178*2</f>
        <v>356</v>
      </c>
      <c r="G219" s="43">
        <f>+F219*2</f>
        <v>712</v>
      </c>
    </row>
    <row r="220" spans="2:12" x14ac:dyDescent="0.25">
      <c r="G220" s="44">
        <f>SUM(G217:G219)</f>
        <v>1780</v>
      </c>
      <c r="H220" s="44">
        <v>1380</v>
      </c>
      <c r="I220" s="44">
        <f>+G220-H220</f>
        <v>400</v>
      </c>
      <c r="J220" s="44">
        <v>1653</v>
      </c>
      <c r="K220" s="32">
        <f>G220-J220</f>
        <v>127</v>
      </c>
    </row>
    <row r="222" spans="2:12" x14ac:dyDescent="0.25">
      <c r="C222" s="117" t="s">
        <v>14</v>
      </c>
      <c r="D222" s="117"/>
      <c r="E222" s="36" t="s">
        <v>4</v>
      </c>
      <c r="F222" s="36">
        <v>122</v>
      </c>
    </row>
    <row r="223" spans="2:12" x14ac:dyDescent="0.25">
      <c r="C223" s="117"/>
      <c r="D223" s="117"/>
      <c r="E223" s="36" t="s">
        <v>10</v>
      </c>
      <c r="F223" s="36">
        <v>237</v>
      </c>
    </row>
    <row r="224" spans="2:12" x14ac:dyDescent="0.25">
      <c r="C224" s="107" t="s">
        <v>20</v>
      </c>
      <c r="D224" s="107"/>
      <c r="E224" s="35" t="s">
        <v>4</v>
      </c>
      <c r="F224" s="35">
        <v>30</v>
      </c>
    </row>
    <row r="225" spans="3:6" x14ac:dyDescent="0.25">
      <c r="C225" s="107"/>
      <c r="D225" s="107"/>
      <c r="E225" s="35" t="s">
        <v>10</v>
      </c>
      <c r="F225" s="35">
        <v>58</v>
      </c>
    </row>
    <row r="226" spans="3:6" x14ac:dyDescent="0.25">
      <c r="C226" s="106" t="s">
        <v>26</v>
      </c>
      <c r="D226" s="106"/>
      <c r="E226" s="34" t="s">
        <v>4</v>
      </c>
      <c r="F226" s="34">
        <v>12</v>
      </c>
    </row>
    <row r="227" spans="3:6" x14ac:dyDescent="0.25">
      <c r="C227" s="106"/>
      <c r="D227" s="106"/>
      <c r="E227" s="34" t="s">
        <v>10</v>
      </c>
      <c r="F227" s="34">
        <v>24</v>
      </c>
    </row>
    <row r="228" spans="3:6" x14ac:dyDescent="0.25">
      <c r="C228" s="105" t="s">
        <v>26</v>
      </c>
      <c r="D228" s="105"/>
      <c r="E228" s="49" t="s">
        <v>4</v>
      </c>
      <c r="F228" s="49">
        <v>5</v>
      </c>
    </row>
    <row r="229" spans="3:6" x14ac:dyDescent="0.25">
      <c r="C229" s="105"/>
      <c r="D229" s="105"/>
      <c r="E229" s="49" t="s">
        <v>10</v>
      </c>
      <c r="F229" s="49">
        <v>10</v>
      </c>
    </row>
  </sheetData>
  <mergeCells count="10">
    <mergeCell ref="B2:B3"/>
    <mergeCell ref="D217:D219"/>
    <mergeCell ref="C222:D223"/>
    <mergeCell ref="C2:C3"/>
    <mergeCell ref="D2:F2"/>
    <mergeCell ref="C228:D229"/>
    <mergeCell ref="C226:D227"/>
    <mergeCell ref="C224:D225"/>
    <mergeCell ref="J2:L2"/>
    <mergeCell ref="G2:I2"/>
  </mergeCells>
  <pageMargins left="0.7" right="0.7" top="0.75" bottom="0.75" header="0.3" footer="0.3"/>
  <pageSetup scale="2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-0.249977111117893"/>
  </sheetPr>
  <dimension ref="A2:O238"/>
  <sheetViews>
    <sheetView topLeftCell="A221" zoomScale="85" zoomScaleNormal="85" workbookViewId="0">
      <selection activeCell="M227" sqref="M227"/>
    </sheetView>
  </sheetViews>
  <sheetFormatPr defaultRowHeight="15" x14ac:dyDescent="0.25"/>
  <sheetData>
    <row r="2" spans="2:13" x14ac:dyDescent="0.25">
      <c r="B2" s="114" t="s">
        <v>0</v>
      </c>
      <c r="C2" s="118" t="s">
        <v>1</v>
      </c>
      <c r="D2" s="120" t="s">
        <v>4</v>
      </c>
      <c r="E2" s="120"/>
      <c r="F2" s="120" t="s">
        <v>5</v>
      </c>
      <c r="G2" s="120"/>
      <c r="H2" s="120" t="s">
        <v>6</v>
      </c>
      <c r="I2" s="120"/>
      <c r="J2" s="120" t="s">
        <v>7</v>
      </c>
      <c r="K2" s="120"/>
      <c r="L2" s="120" t="s">
        <v>8</v>
      </c>
      <c r="M2" s="120"/>
    </row>
    <row r="3" spans="2:13" x14ac:dyDescent="0.25">
      <c r="B3" s="115"/>
      <c r="C3" s="119"/>
      <c r="D3" s="1" t="s">
        <v>2</v>
      </c>
      <c r="E3" s="1" t="s">
        <v>3</v>
      </c>
      <c r="F3" s="1" t="s">
        <v>2</v>
      </c>
      <c r="G3" s="1" t="s">
        <v>3</v>
      </c>
      <c r="H3" s="1" t="s">
        <v>2</v>
      </c>
      <c r="I3" s="1" t="s">
        <v>3</v>
      </c>
      <c r="J3" s="1" t="s">
        <v>2</v>
      </c>
      <c r="K3" s="1" t="s">
        <v>3</v>
      </c>
      <c r="L3" s="1" t="s">
        <v>2</v>
      </c>
      <c r="M3" s="1" t="s">
        <v>3</v>
      </c>
    </row>
    <row r="4" spans="2:13" x14ac:dyDescent="0.25">
      <c r="B4" s="1">
        <v>1</v>
      </c>
      <c r="C4" s="1">
        <v>101</v>
      </c>
      <c r="D4" s="1" t="s">
        <v>19</v>
      </c>
      <c r="E4" s="27" t="s">
        <v>19</v>
      </c>
      <c r="F4" s="27" t="s">
        <v>19</v>
      </c>
      <c r="G4" s="27" t="s">
        <v>19</v>
      </c>
      <c r="H4" s="27" t="s">
        <v>19</v>
      </c>
      <c r="I4" s="27" t="s">
        <v>19</v>
      </c>
      <c r="J4" s="27" t="s">
        <v>19</v>
      </c>
      <c r="K4" s="27" t="s">
        <v>19</v>
      </c>
      <c r="L4" s="27" t="s">
        <v>19</v>
      </c>
      <c r="M4" s="27" t="s">
        <v>19</v>
      </c>
    </row>
    <row r="5" spans="2:13" x14ac:dyDescent="0.25">
      <c r="B5" s="1">
        <v>2</v>
      </c>
      <c r="C5" s="1">
        <v>102</v>
      </c>
      <c r="D5" s="27" t="s">
        <v>19</v>
      </c>
      <c r="E5" s="27" t="s">
        <v>19</v>
      </c>
      <c r="F5" s="27" t="s">
        <v>19</v>
      </c>
      <c r="G5" s="27" t="s">
        <v>19</v>
      </c>
      <c r="H5" s="27" t="s">
        <v>19</v>
      </c>
      <c r="I5" s="27" t="s">
        <v>19</v>
      </c>
      <c r="J5" s="27" t="s">
        <v>19</v>
      </c>
      <c r="K5" s="27" t="s">
        <v>19</v>
      </c>
      <c r="L5" s="27" t="s">
        <v>19</v>
      </c>
      <c r="M5" s="27" t="s">
        <v>19</v>
      </c>
    </row>
    <row r="6" spans="2:13" x14ac:dyDescent="0.25">
      <c r="B6" s="1">
        <v>3</v>
      </c>
      <c r="C6" s="1">
        <v>103</v>
      </c>
      <c r="D6" s="27" t="s">
        <v>19</v>
      </c>
      <c r="E6" s="27" t="s">
        <v>19</v>
      </c>
      <c r="F6" s="27" t="s">
        <v>19</v>
      </c>
      <c r="G6" s="27" t="s">
        <v>19</v>
      </c>
      <c r="H6" s="27" t="s">
        <v>19</v>
      </c>
      <c r="I6" s="27" t="s">
        <v>19</v>
      </c>
      <c r="J6" s="27" t="s">
        <v>19</v>
      </c>
      <c r="K6" s="27" t="s">
        <v>19</v>
      </c>
      <c r="L6" s="27" t="s">
        <v>19</v>
      </c>
      <c r="M6" s="27" t="s">
        <v>19</v>
      </c>
    </row>
    <row r="7" spans="2:13" x14ac:dyDescent="0.25">
      <c r="B7" s="1">
        <v>4</v>
      </c>
      <c r="C7" s="1">
        <v>104</v>
      </c>
      <c r="D7" s="27" t="s">
        <v>19</v>
      </c>
      <c r="E7" s="27" t="s">
        <v>19</v>
      </c>
      <c r="F7" s="27" t="s">
        <v>19</v>
      </c>
      <c r="G7" s="27" t="s">
        <v>19</v>
      </c>
      <c r="H7" s="27" t="s">
        <v>19</v>
      </c>
      <c r="I7" s="27" t="s">
        <v>19</v>
      </c>
      <c r="J7" s="27" t="s">
        <v>19</v>
      </c>
      <c r="K7" s="27" t="s">
        <v>19</v>
      </c>
      <c r="L7" s="27" t="s">
        <v>19</v>
      </c>
      <c r="M7" s="27" t="s">
        <v>19</v>
      </c>
    </row>
    <row r="8" spans="2:13" x14ac:dyDescent="0.25">
      <c r="B8" s="1">
        <v>5</v>
      </c>
      <c r="C8" s="1">
        <v>105</v>
      </c>
      <c r="D8" s="27" t="s">
        <v>19</v>
      </c>
      <c r="E8" s="27" t="s">
        <v>19</v>
      </c>
      <c r="F8" s="27" t="s">
        <v>19</v>
      </c>
      <c r="G8" s="27" t="s">
        <v>19</v>
      </c>
      <c r="H8" s="27" t="s">
        <v>19</v>
      </c>
      <c r="I8" s="27" t="s">
        <v>19</v>
      </c>
      <c r="J8" s="27" t="s">
        <v>19</v>
      </c>
      <c r="K8" s="27" t="s">
        <v>19</v>
      </c>
      <c r="L8" s="27" t="s">
        <v>19</v>
      </c>
      <c r="M8" s="27" t="s">
        <v>19</v>
      </c>
    </row>
    <row r="9" spans="2:13" x14ac:dyDescent="0.25">
      <c r="B9" s="1">
        <v>6</v>
      </c>
      <c r="C9" s="1">
        <v>106</v>
      </c>
      <c r="D9" s="27" t="s">
        <v>19</v>
      </c>
      <c r="E9" s="27" t="s">
        <v>19</v>
      </c>
      <c r="F9" s="27" t="s">
        <v>19</v>
      </c>
      <c r="G9" s="27" t="s">
        <v>19</v>
      </c>
      <c r="H9" s="27" t="s">
        <v>19</v>
      </c>
      <c r="I9" s="27" t="s">
        <v>19</v>
      </c>
      <c r="J9" s="27" t="s">
        <v>19</v>
      </c>
      <c r="K9" s="27" t="s">
        <v>19</v>
      </c>
      <c r="L9" s="27" t="s">
        <v>19</v>
      </c>
      <c r="M9" s="27" t="s">
        <v>19</v>
      </c>
    </row>
    <row r="10" spans="2:13" x14ac:dyDescent="0.25">
      <c r="B10" s="1">
        <v>7</v>
      </c>
      <c r="C10" s="1">
        <v>107</v>
      </c>
      <c r="D10" s="27" t="s">
        <v>19</v>
      </c>
      <c r="E10" s="27" t="s">
        <v>19</v>
      </c>
      <c r="F10" s="27" t="s">
        <v>19</v>
      </c>
      <c r="G10" s="27" t="s">
        <v>19</v>
      </c>
      <c r="H10" s="27" t="s">
        <v>19</v>
      </c>
      <c r="I10" s="27" t="s">
        <v>19</v>
      </c>
      <c r="J10" s="27" t="s">
        <v>19</v>
      </c>
      <c r="K10" s="27" t="s">
        <v>19</v>
      </c>
      <c r="L10" s="27" t="s">
        <v>19</v>
      </c>
      <c r="M10" s="27" t="s">
        <v>19</v>
      </c>
    </row>
    <row r="11" spans="2:13" x14ac:dyDescent="0.25">
      <c r="B11" s="1">
        <v>8</v>
      </c>
      <c r="C11" s="1">
        <v>108</v>
      </c>
      <c r="D11" s="27" t="s">
        <v>19</v>
      </c>
      <c r="E11" s="27" t="s">
        <v>19</v>
      </c>
      <c r="F11" s="27" t="s">
        <v>19</v>
      </c>
      <c r="G11" s="27" t="s">
        <v>19</v>
      </c>
      <c r="H11" s="27" t="s">
        <v>19</v>
      </c>
      <c r="I11" s="27" t="s">
        <v>19</v>
      </c>
      <c r="J11" s="27" t="s">
        <v>19</v>
      </c>
      <c r="K11" s="27" t="s">
        <v>19</v>
      </c>
      <c r="L11" s="27" t="s">
        <v>19</v>
      </c>
      <c r="M11" s="27" t="s">
        <v>19</v>
      </c>
    </row>
    <row r="12" spans="2:13" x14ac:dyDescent="0.25">
      <c r="B12" s="1">
        <v>9</v>
      </c>
      <c r="C12" s="1">
        <v>109</v>
      </c>
      <c r="D12" s="27" t="s">
        <v>19</v>
      </c>
      <c r="E12" s="27" t="s">
        <v>19</v>
      </c>
      <c r="F12" s="27" t="s">
        <v>19</v>
      </c>
      <c r="G12" s="27" t="s">
        <v>19</v>
      </c>
      <c r="H12" s="27" t="s">
        <v>19</v>
      </c>
      <c r="I12" s="27" t="s">
        <v>19</v>
      </c>
      <c r="J12" s="27" t="s">
        <v>19</v>
      </c>
      <c r="K12" s="27" t="s">
        <v>19</v>
      </c>
      <c r="L12" s="27" t="s">
        <v>19</v>
      </c>
      <c r="M12" s="27" t="s">
        <v>19</v>
      </c>
    </row>
    <row r="13" spans="2:13" x14ac:dyDescent="0.25">
      <c r="B13" s="1">
        <v>10</v>
      </c>
      <c r="C13" s="1">
        <v>110</v>
      </c>
      <c r="D13" s="27" t="s">
        <v>19</v>
      </c>
      <c r="E13" s="27" t="s">
        <v>19</v>
      </c>
      <c r="F13" s="27" t="s">
        <v>19</v>
      </c>
      <c r="G13" s="27" t="s">
        <v>19</v>
      </c>
      <c r="H13" s="27" t="s">
        <v>19</v>
      </c>
      <c r="I13" s="27" t="s">
        <v>19</v>
      </c>
      <c r="J13" s="27" t="s">
        <v>19</v>
      </c>
      <c r="K13" s="27" t="s">
        <v>19</v>
      </c>
      <c r="L13" s="27" t="s">
        <v>19</v>
      </c>
      <c r="M13" s="27" t="s">
        <v>19</v>
      </c>
    </row>
    <row r="14" spans="2:13" x14ac:dyDescent="0.25">
      <c r="B14" s="1">
        <v>11</v>
      </c>
      <c r="C14" s="1">
        <v>111</v>
      </c>
      <c r="D14" s="27" t="s">
        <v>19</v>
      </c>
      <c r="E14" s="27" t="s">
        <v>19</v>
      </c>
      <c r="F14" s="27" t="s">
        <v>19</v>
      </c>
      <c r="G14" s="27" t="s">
        <v>19</v>
      </c>
      <c r="H14" s="27" t="s">
        <v>19</v>
      </c>
      <c r="I14" s="27" t="s">
        <v>19</v>
      </c>
      <c r="J14" s="27" t="s">
        <v>19</v>
      </c>
      <c r="K14" s="27" t="s">
        <v>19</v>
      </c>
      <c r="L14" s="27" t="s">
        <v>19</v>
      </c>
      <c r="M14" s="27" t="s">
        <v>19</v>
      </c>
    </row>
    <row r="15" spans="2:13" x14ac:dyDescent="0.25">
      <c r="B15" s="1">
        <v>12</v>
      </c>
      <c r="C15" s="1">
        <v>112</v>
      </c>
      <c r="D15" s="27" t="s">
        <v>19</v>
      </c>
      <c r="E15" s="27" t="s">
        <v>19</v>
      </c>
      <c r="F15" s="27" t="s">
        <v>19</v>
      </c>
      <c r="G15" s="27" t="s">
        <v>19</v>
      </c>
      <c r="H15" s="27" t="s">
        <v>19</v>
      </c>
      <c r="I15" s="27" t="s">
        <v>19</v>
      </c>
      <c r="J15" s="27" t="s">
        <v>19</v>
      </c>
      <c r="K15" s="27" t="s">
        <v>19</v>
      </c>
      <c r="L15" s="27" t="s">
        <v>19</v>
      </c>
      <c r="M15" s="27" t="s">
        <v>19</v>
      </c>
    </row>
    <row r="16" spans="2:13" x14ac:dyDescent="0.25">
      <c r="B16" s="1">
        <v>13</v>
      </c>
      <c r="C16" s="1">
        <v>201</v>
      </c>
      <c r="D16" s="1">
        <v>2213</v>
      </c>
      <c r="E16" s="1">
        <v>960</v>
      </c>
      <c r="F16" s="1">
        <v>2210</v>
      </c>
      <c r="G16" s="1">
        <v>825</v>
      </c>
      <c r="H16" s="1">
        <v>2210</v>
      </c>
      <c r="I16" s="1">
        <v>826</v>
      </c>
      <c r="J16" s="1">
        <v>2240</v>
      </c>
      <c r="K16" s="1">
        <v>683</v>
      </c>
      <c r="L16" s="1">
        <v>2240</v>
      </c>
      <c r="M16" s="1">
        <v>680</v>
      </c>
    </row>
    <row r="17" spans="2:14" x14ac:dyDescent="0.25">
      <c r="B17" s="1">
        <v>14</v>
      </c>
      <c r="C17" s="1">
        <v>202</v>
      </c>
      <c r="D17" s="1">
        <v>2214</v>
      </c>
      <c r="E17" s="1">
        <v>961</v>
      </c>
      <c r="F17" s="1">
        <v>2237</v>
      </c>
      <c r="G17" s="1">
        <v>825</v>
      </c>
      <c r="H17" s="1">
        <v>2228</v>
      </c>
      <c r="I17" s="1">
        <v>827</v>
      </c>
      <c r="J17" s="1">
        <v>2240</v>
      </c>
      <c r="K17" s="1">
        <v>677</v>
      </c>
      <c r="L17" s="1">
        <v>2240</v>
      </c>
      <c r="M17" s="1">
        <v>682</v>
      </c>
    </row>
    <row r="18" spans="2:14" x14ac:dyDescent="0.25">
      <c r="B18" s="1">
        <v>15</v>
      </c>
      <c r="C18" s="1">
        <v>203</v>
      </c>
      <c r="D18" s="1">
        <v>2224</v>
      </c>
      <c r="E18" s="1">
        <v>952</v>
      </c>
      <c r="F18" s="1">
        <v>2218</v>
      </c>
      <c r="G18" s="1">
        <v>837</v>
      </c>
      <c r="H18" s="1">
        <v>2218</v>
      </c>
      <c r="I18" s="1">
        <v>835</v>
      </c>
      <c r="J18" s="1">
        <v>2240</v>
      </c>
      <c r="K18" s="1">
        <v>643</v>
      </c>
      <c r="L18" s="1">
        <v>2240</v>
      </c>
      <c r="M18" s="1">
        <v>650</v>
      </c>
      <c r="N18" t="s">
        <v>46</v>
      </c>
    </row>
    <row r="19" spans="2:14" x14ac:dyDescent="0.25">
      <c r="B19" s="1">
        <v>16</v>
      </c>
      <c r="C19" s="1">
        <v>204</v>
      </c>
      <c r="D19" s="1">
        <v>2225</v>
      </c>
      <c r="E19" s="1">
        <v>963</v>
      </c>
      <c r="F19" s="1">
        <v>2218</v>
      </c>
      <c r="G19" s="1">
        <v>823</v>
      </c>
      <c r="H19" s="1">
        <v>2218</v>
      </c>
      <c r="I19" s="1">
        <v>821</v>
      </c>
      <c r="J19" s="1">
        <v>2240</v>
      </c>
      <c r="K19" s="1">
        <v>655</v>
      </c>
      <c r="L19" s="1">
        <v>2230</v>
      </c>
      <c r="M19" s="1">
        <v>690</v>
      </c>
    </row>
    <row r="20" spans="2:14" x14ac:dyDescent="0.25">
      <c r="B20" s="1">
        <v>17</v>
      </c>
      <c r="C20" s="1">
        <v>205</v>
      </c>
      <c r="D20" s="1">
        <v>2216</v>
      </c>
      <c r="E20" s="1">
        <v>961</v>
      </c>
      <c r="F20" s="1">
        <v>2212</v>
      </c>
      <c r="G20" s="1">
        <v>832</v>
      </c>
      <c r="H20" s="1">
        <v>2213</v>
      </c>
      <c r="I20" s="1">
        <v>830</v>
      </c>
      <c r="J20" s="1">
        <v>2230</v>
      </c>
      <c r="K20" s="1">
        <v>675</v>
      </c>
      <c r="L20" s="1">
        <v>2230</v>
      </c>
      <c r="M20" s="1">
        <v>675</v>
      </c>
    </row>
    <row r="21" spans="2:14" x14ac:dyDescent="0.25">
      <c r="B21" s="1">
        <v>18</v>
      </c>
      <c r="C21" s="1">
        <v>206</v>
      </c>
      <c r="D21" s="1">
        <v>2197</v>
      </c>
      <c r="E21" s="1">
        <v>958</v>
      </c>
      <c r="F21" s="1">
        <v>2187</v>
      </c>
      <c r="G21" s="1">
        <v>805</v>
      </c>
      <c r="H21" s="1">
        <v>2188</v>
      </c>
      <c r="I21" s="1">
        <v>802</v>
      </c>
      <c r="J21" s="1">
        <v>2180</v>
      </c>
      <c r="K21" s="1">
        <v>680</v>
      </c>
      <c r="L21" s="1">
        <v>2185</v>
      </c>
      <c r="M21" s="1">
        <v>683</v>
      </c>
    </row>
    <row r="22" spans="2:14" x14ac:dyDescent="0.25">
      <c r="B22" s="1">
        <v>19</v>
      </c>
      <c r="C22" s="1">
        <v>207</v>
      </c>
      <c r="D22" s="1">
        <v>2185</v>
      </c>
      <c r="E22" s="1">
        <v>957</v>
      </c>
      <c r="F22" s="1">
        <v>2183</v>
      </c>
      <c r="G22" s="1">
        <v>832</v>
      </c>
      <c r="H22" s="1">
        <v>2186</v>
      </c>
      <c r="I22" s="1">
        <v>835</v>
      </c>
      <c r="J22" s="1">
        <v>2200</v>
      </c>
      <c r="K22" s="1">
        <v>695</v>
      </c>
      <c r="L22" s="1">
        <v>2210</v>
      </c>
      <c r="M22" s="1">
        <v>695</v>
      </c>
    </row>
    <row r="23" spans="2:14" x14ac:dyDescent="0.25">
      <c r="B23" s="1">
        <v>20</v>
      </c>
      <c r="C23" s="1">
        <v>208</v>
      </c>
      <c r="D23" s="1">
        <v>2218</v>
      </c>
      <c r="E23" s="1">
        <v>969</v>
      </c>
      <c r="F23" s="1">
        <v>2205</v>
      </c>
      <c r="G23" s="1">
        <v>830</v>
      </c>
      <c r="H23" s="1">
        <v>2210</v>
      </c>
      <c r="I23" s="1">
        <v>837</v>
      </c>
      <c r="J23" s="1">
        <v>2205</v>
      </c>
      <c r="K23" s="1">
        <v>680</v>
      </c>
      <c r="L23" s="1">
        <v>2210</v>
      </c>
      <c r="M23" s="1">
        <v>685</v>
      </c>
    </row>
    <row r="24" spans="2:14" x14ac:dyDescent="0.25">
      <c r="B24" s="1">
        <v>21</v>
      </c>
      <c r="C24" s="1">
        <v>209</v>
      </c>
      <c r="D24" s="1">
        <v>2220</v>
      </c>
      <c r="E24" s="1">
        <v>964</v>
      </c>
      <c r="F24" s="1">
        <v>2220</v>
      </c>
      <c r="G24" s="1">
        <v>836</v>
      </c>
      <c r="H24" s="1">
        <v>2220</v>
      </c>
      <c r="I24" s="1">
        <v>832</v>
      </c>
      <c r="J24" s="1">
        <v>2235</v>
      </c>
      <c r="K24" s="1">
        <v>665</v>
      </c>
      <c r="L24" s="1">
        <v>2210</v>
      </c>
      <c r="M24" s="1">
        <v>672</v>
      </c>
    </row>
    <row r="25" spans="2:14" x14ac:dyDescent="0.25">
      <c r="B25" s="1">
        <v>22</v>
      </c>
      <c r="C25" s="1">
        <v>210</v>
      </c>
      <c r="D25" s="1">
        <v>2217</v>
      </c>
      <c r="E25" s="1">
        <v>962</v>
      </c>
      <c r="F25" s="1">
        <v>2207</v>
      </c>
      <c r="G25" s="1">
        <v>835</v>
      </c>
      <c r="H25" s="1">
        <v>2202</v>
      </c>
      <c r="I25" s="1">
        <v>835</v>
      </c>
      <c r="J25" s="1">
        <v>2230</v>
      </c>
      <c r="K25" s="1">
        <v>665</v>
      </c>
      <c r="L25" s="1">
        <v>2215</v>
      </c>
      <c r="M25" s="1">
        <v>670</v>
      </c>
    </row>
    <row r="26" spans="2:14" x14ac:dyDescent="0.25">
      <c r="B26" s="1">
        <v>23</v>
      </c>
      <c r="C26" s="1">
        <v>211</v>
      </c>
      <c r="D26" s="1">
        <v>2208</v>
      </c>
      <c r="E26" s="1">
        <v>958</v>
      </c>
      <c r="F26" s="1">
        <v>2200</v>
      </c>
      <c r="G26" s="1">
        <v>835</v>
      </c>
      <c r="H26" s="1">
        <v>2202</v>
      </c>
      <c r="I26" s="1">
        <v>832</v>
      </c>
      <c r="J26" s="1">
        <v>2200</v>
      </c>
      <c r="K26" s="1">
        <v>670</v>
      </c>
      <c r="L26" s="1">
        <v>2200</v>
      </c>
      <c r="M26" s="1">
        <v>695</v>
      </c>
    </row>
    <row r="27" spans="2:14" x14ac:dyDescent="0.25">
      <c r="B27" s="1">
        <v>24</v>
      </c>
      <c r="C27" s="1">
        <v>212</v>
      </c>
      <c r="D27" s="1">
        <v>2200</v>
      </c>
      <c r="E27" s="1">
        <v>967</v>
      </c>
      <c r="F27" s="1">
        <v>2202</v>
      </c>
      <c r="G27" s="1">
        <v>833</v>
      </c>
      <c r="H27" s="1">
        <v>2205</v>
      </c>
      <c r="I27" s="1">
        <v>812</v>
      </c>
      <c r="J27" s="1">
        <v>2230</v>
      </c>
      <c r="K27" s="1">
        <v>692</v>
      </c>
      <c r="L27" s="1">
        <v>2200</v>
      </c>
      <c r="M27" s="1">
        <v>675</v>
      </c>
    </row>
    <row r="28" spans="2:14" x14ac:dyDescent="0.25">
      <c r="B28" s="1">
        <v>25</v>
      </c>
      <c r="C28" s="1">
        <v>301</v>
      </c>
      <c r="D28" s="1">
        <v>2203</v>
      </c>
      <c r="E28" s="1">
        <v>959</v>
      </c>
      <c r="F28" s="74">
        <v>2218</v>
      </c>
      <c r="G28" s="74">
        <v>825</v>
      </c>
      <c r="H28" s="74">
        <v>2220</v>
      </c>
      <c r="I28" s="74">
        <v>827</v>
      </c>
      <c r="J28" s="70">
        <v>2260</v>
      </c>
      <c r="K28" s="70">
        <v>672</v>
      </c>
      <c r="L28" s="8">
        <v>2275</v>
      </c>
      <c r="M28" s="8">
        <v>667</v>
      </c>
    </row>
    <row r="29" spans="2:14" x14ac:dyDescent="0.25">
      <c r="B29" s="1">
        <v>26</v>
      </c>
      <c r="C29" s="1">
        <v>302</v>
      </c>
      <c r="D29" s="12">
        <v>2212</v>
      </c>
      <c r="E29" s="12">
        <v>966</v>
      </c>
      <c r="F29" s="74">
        <v>2215</v>
      </c>
      <c r="G29" s="74">
        <v>833</v>
      </c>
      <c r="H29" s="74">
        <v>2215</v>
      </c>
      <c r="I29" s="74">
        <v>830</v>
      </c>
      <c r="J29" s="8">
        <v>2220</v>
      </c>
      <c r="K29" s="8">
        <v>675</v>
      </c>
      <c r="L29" s="8">
        <v>2225</v>
      </c>
      <c r="M29" s="8">
        <v>680</v>
      </c>
    </row>
    <row r="30" spans="2:14" x14ac:dyDescent="0.25">
      <c r="B30" s="1">
        <v>27</v>
      </c>
      <c r="C30" s="1">
        <v>303</v>
      </c>
      <c r="D30" s="12">
        <v>2213</v>
      </c>
      <c r="E30" s="12">
        <v>973</v>
      </c>
      <c r="F30" s="74">
        <v>2215</v>
      </c>
      <c r="G30" s="74">
        <v>815</v>
      </c>
      <c r="H30" s="74">
        <v>2220</v>
      </c>
      <c r="I30" s="74">
        <v>815</v>
      </c>
      <c r="J30" s="70">
        <v>2230</v>
      </c>
      <c r="K30" s="70">
        <v>665</v>
      </c>
      <c r="L30" s="8">
        <v>2230</v>
      </c>
      <c r="M30" s="8">
        <v>696</v>
      </c>
    </row>
    <row r="31" spans="2:14" x14ac:dyDescent="0.25">
      <c r="B31" s="1">
        <v>28</v>
      </c>
      <c r="C31" s="1">
        <v>304</v>
      </c>
      <c r="D31" s="12">
        <v>2210</v>
      </c>
      <c r="E31" s="12">
        <v>965</v>
      </c>
      <c r="F31" s="74">
        <v>2205</v>
      </c>
      <c r="G31" s="74">
        <v>825</v>
      </c>
      <c r="H31" s="74">
        <v>2215</v>
      </c>
      <c r="I31" s="74">
        <v>820</v>
      </c>
      <c r="J31" s="70">
        <v>2225</v>
      </c>
      <c r="K31" s="70">
        <v>655</v>
      </c>
      <c r="L31" s="8">
        <v>2225</v>
      </c>
      <c r="M31" s="8">
        <v>675</v>
      </c>
    </row>
    <row r="32" spans="2:14" x14ac:dyDescent="0.25">
      <c r="B32" s="1">
        <v>29</v>
      </c>
      <c r="C32" s="1">
        <v>305</v>
      </c>
      <c r="D32" s="70">
        <v>2260</v>
      </c>
      <c r="E32" s="70">
        <v>974</v>
      </c>
      <c r="F32" s="74">
        <v>2215</v>
      </c>
      <c r="G32" s="74">
        <v>812</v>
      </c>
      <c r="H32" s="74">
        <v>2210</v>
      </c>
      <c r="I32" s="74">
        <v>810</v>
      </c>
      <c r="J32" s="8">
        <v>2220</v>
      </c>
      <c r="K32" s="8">
        <v>675</v>
      </c>
      <c r="L32" s="8">
        <v>2225</v>
      </c>
      <c r="M32" s="8">
        <v>685</v>
      </c>
    </row>
    <row r="33" spans="1:13" x14ac:dyDescent="0.25">
      <c r="A33" t="s">
        <v>45</v>
      </c>
      <c r="B33" s="1">
        <v>30</v>
      </c>
      <c r="C33" s="1">
        <v>306</v>
      </c>
      <c r="D33" s="1"/>
      <c r="E33" s="1"/>
      <c r="F33" s="3"/>
      <c r="G33" s="3"/>
      <c r="H33" s="1"/>
      <c r="I33" s="1"/>
      <c r="J33" s="3"/>
      <c r="K33" s="3"/>
      <c r="L33" s="1"/>
      <c r="M33" s="1"/>
    </row>
    <row r="34" spans="1:13" x14ac:dyDescent="0.25">
      <c r="B34" s="1">
        <v>31</v>
      </c>
      <c r="C34" s="1">
        <v>307</v>
      </c>
      <c r="D34" s="1"/>
      <c r="E34" s="1"/>
      <c r="F34" s="3"/>
      <c r="G34" s="3"/>
      <c r="H34" s="1"/>
      <c r="I34" s="1"/>
      <c r="J34" s="3"/>
      <c r="K34" s="3"/>
      <c r="L34" s="1"/>
      <c r="M34" s="1"/>
    </row>
    <row r="35" spans="1:13" x14ac:dyDescent="0.25">
      <c r="B35" s="1">
        <v>32</v>
      </c>
      <c r="C35" s="1">
        <v>308</v>
      </c>
      <c r="D35" s="12">
        <v>2293</v>
      </c>
      <c r="E35" s="12">
        <v>982</v>
      </c>
      <c r="F35" s="74">
        <v>2182</v>
      </c>
      <c r="G35" s="74">
        <v>847</v>
      </c>
      <c r="H35" s="74">
        <v>2183</v>
      </c>
      <c r="I35" s="74">
        <v>842</v>
      </c>
      <c r="J35" s="8">
        <v>2215</v>
      </c>
      <c r="K35" s="8">
        <v>675</v>
      </c>
      <c r="L35" s="8">
        <v>2215</v>
      </c>
      <c r="M35" s="8">
        <v>683</v>
      </c>
    </row>
    <row r="36" spans="1:13" x14ac:dyDescent="0.25">
      <c r="B36" s="1">
        <v>33</v>
      </c>
      <c r="C36" s="1">
        <v>309</v>
      </c>
      <c r="D36" s="12">
        <v>2212</v>
      </c>
      <c r="E36" s="12">
        <v>980</v>
      </c>
      <c r="F36" s="74">
        <v>2205</v>
      </c>
      <c r="G36" s="74">
        <v>835</v>
      </c>
      <c r="H36" s="74">
        <v>2210</v>
      </c>
      <c r="I36" s="74">
        <v>835</v>
      </c>
      <c r="J36" s="8">
        <v>2200</v>
      </c>
      <c r="K36" s="8">
        <v>685</v>
      </c>
      <c r="L36" s="8">
        <v>2210</v>
      </c>
      <c r="M36" s="8">
        <v>685</v>
      </c>
    </row>
    <row r="37" spans="1:13" x14ac:dyDescent="0.25">
      <c r="B37" s="1">
        <v>34</v>
      </c>
      <c r="C37" s="1">
        <v>310</v>
      </c>
      <c r="D37" s="12">
        <v>2205</v>
      </c>
      <c r="E37" s="12">
        <v>978</v>
      </c>
      <c r="F37" s="76">
        <v>2207</v>
      </c>
      <c r="G37" s="76">
        <v>835</v>
      </c>
      <c r="H37" s="1">
        <v>2210</v>
      </c>
      <c r="I37" s="1">
        <v>837</v>
      </c>
      <c r="J37" s="8">
        <v>2220</v>
      </c>
      <c r="K37" s="8">
        <v>678</v>
      </c>
      <c r="L37" s="8">
        <v>2210</v>
      </c>
      <c r="M37" s="8">
        <v>675</v>
      </c>
    </row>
    <row r="38" spans="1:13" x14ac:dyDescent="0.25">
      <c r="B38" s="1">
        <v>35</v>
      </c>
      <c r="C38" s="1">
        <v>311</v>
      </c>
      <c r="D38" s="12">
        <v>2202</v>
      </c>
      <c r="E38" s="12">
        <v>980</v>
      </c>
      <c r="F38" s="74">
        <v>2185</v>
      </c>
      <c r="G38" s="74">
        <v>845</v>
      </c>
      <c r="H38" s="74">
        <v>2192</v>
      </c>
      <c r="I38" s="74">
        <v>842</v>
      </c>
      <c r="J38" s="102">
        <v>2220</v>
      </c>
      <c r="K38" s="102">
        <v>665</v>
      </c>
      <c r="L38" s="8">
        <v>2230</v>
      </c>
      <c r="M38" s="8">
        <v>677</v>
      </c>
    </row>
    <row r="39" spans="1:13" x14ac:dyDescent="0.25">
      <c r="B39" s="1">
        <v>36</v>
      </c>
      <c r="C39" s="1">
        <v>312</v>
      </c>
      <c r="D39" s="12">
        <v>2200</v>
      </c>
      <c r="E39" s="12">
        <v>990</v>
      </c>
      <c r="F39" s="74">
        <v>2195</v>
      </c>
      <c r="G39" s="74">
        <v>810</v>
      </c>
      <c r="H39" s="74">
        <v>2198</v>
      </c>
      <c r="I39" s="74">
        <v>808</v>
      </c>
      <c r="J39" s="50">
        <v>2233</v>
      </c>
      <c r="K39" s="50">
        <v>663</v>
      </c>
      <c r="L39" s="50">
        <v>2215</v>
      </c>
      <c r="M39" s="50">
        <v>677</v>
      </c>
    </row>
    <row r="40" spans="1:13" x14ac:dyDescent="0.25">
      <c r="B40" s="1">
        <v>37</v>
      </c>
      <c r="C40" s="1">
        <v>401</v>
      </c>
      <c r="D40" s="12">
        <v>2212</v>
      </c>
      <c r="E40" s="12">
        <v>963</v>
      </c>
      <c r="F40" s="74">
        <v>2192</v>
      </c>
      <c r="G40" s="74">
        <v>820</v>
      </c>
      <c r="H40" s="74">
        <v>2192</v>
      </c>
      <c r="I40" s="74">
        <v>820</v>
      </c>
      <c r="J40" s="8">
        <v>2230</v>
      </c>
      <c r="K40" s="8">
        <v>656</v>
      </c>
      <c r="L40" s="8">
        <v>2190</v>
      </c>
      <c r="M40" s="8">
        <v>621</v>
      </c>
    </row>
    <row r="41" spans="1:13" x14ac:dyDescent="0.25">
      <c r="B41" s="1">
        <v>38</v>
      </c>
      <c r="C41" s="1">
        <v>402</v>
      </c>
      <c r="D41" s="12">
        <v>2210</v>
      </c>
      <c r="E41" s="12">
        <v>951</v>
      </c>
      <c r="F41" s="74">
        <v>2195</v>
      </c>
      <c r="G41" s="74">
        <v>822</v>
      </c>
      <c r="H41" s="74">
        <v>2195</v>
      </c>
      <c r="I41" s="74">
        <v>825</v>
      </c>
      <c r="J41" s="8">
        <v>2200</v>
      </c>
      <c r="K41" s="8">
        <v>680</v>
      </c>
      <c r="L41" s="8">
        <v>2230</v>
      </c>
      <c r="M41" s="8">
        <v>665</v>
      </c>
    </row>
    <row r="42" spans="1:13" x14ac:dyDescent="0.25">
      <c r="B42" s="1">
        <v>39</v>
      </c>
      <c r="C42" s="1">
        <v>403</v>
      </c>
      <c r="D42" s="12">
        <v>2213</v>
      </c>
      <c r="E42" s="12">
        <v>967</v>
      </c>
      <c r="F42" s="74">
        <v>2190</v>
      </c>
      <c r="G42" s="74">
        <v>812</v>
      </c>
      <c r="H42" s="74">
        <v>2187</v>
      </c>
      <c r="I42" s="74">
        <v>807</v>
      </c>
      <c r="J42" s="70">
        <v>2220</v>
      </c>
      <c r="K42" s="70">
        <v>653</v>
      </c>
      <c r="L42" s="8">
        <v>2225</v>
      </c>
      <c r="M42" s="8">
        <v>675</v>
      </c>
    </row>
    <row r="43" spans="1:13" x14ac:dyDescent="0.25">
      <c r="B43" s="1">
        <v>40</v>
      </c>
      <c r="C43" s="1">
        <v>404</v>
      </c>
      <c r="D43" s="12">
        <v>2210</v>
      </c>
      <c r="E43" s="12">
        <v>965</v>
      </c>
      <c r="F43" s="74">
        <v>2195</v>
      </c>
      <c r="G43" s="74">
        <v>815</v>
      </c>
      <c r="H43" s="74">
        <v>2190</v>
      </c>
      <c r="I43" s="74">
        <v>812</v>
      </c>
      <c r="J43" s="70">
        <v>2202</v>
      </c>
      <c r="K43" s="70">
        <v>650</v>
      </c>
      <c r="L43" s="8">
        <v>2190</v>
      </c>
      <c r="M43" s="8">
        <v>678</v>
      </c>
    </row>
    <row r="44" spans="1:13" x14ac:dyDescent="0.25">
      <c r="B44" s="1">
        <v>41</v>
      </c>
      <c r="C44" s="1">
        <v>405</v>
      </c>
      <c r="D44" s="12">
        <v>2182</v>
      </c>
      <c r="E44" s="12">
        <v>955</v>
      </c>
      <c r="F44" s="74">
        <v>2195</v>
      </c>
      <c r="G44" s="74">
        <v>818</v>
      </c>
      <c r="H44" s="74">
        <v>2200</v>
      </c>
      <c r="I44" s="74">
        <v>822</v>
      </c>
      <c r="J44" s="70">
        <v>2205</v>
      </c>
      <c r="K44" s="70">
        <v>676</v>
      </c>
      <c r="L44" s="8">
        <v>2210</v>
      </c>
      <c r="M44" s="8">
        <v>675</v>
      </c>
    </row>
    <row r="45" spans="1:13" x14ac:dyDescent="0.25">
      <c r="B45" s="1">
        <v>42</v>
      </c>
      <c r="C45" s="1">
        <v>406</v>
      </c>
      <c r="D45" s="12">
        <v>2210</v>
      </c>
      <c r="E45" s="12">
        <v>960</v>
      </c>
      <c r="F45" s="74">
        <v>2210</v>
      </c>
      <c r="G45" s="74">
        <v>837</v>
      </c>
      <c r="H45" s="74">
        <v>2208</v>
      </c>
      <c r="I45" s="74">
        <v>833</v>
      </c>
      <c r="J45" s="8">
        <v>2220</v>
      </c>
      <c r="K45" s="8">
        <v>670</v>
      </c>
      <c r="L45" s="8">
        <v>2220</v>
      </c>
      <c r="M45" s="8">
        <v>670</v>
      </c>
    </row>
    <row r="46" spans="1:13" x14ac:dyDescent="0.25">
      <c r="B46" s="1">
        <v>43</v>
      </c>
      <c r="C46" s="1">
        <v>407</v>
      </c>
      <c r="D46" s="12">
        <v>2213</v>
      </c>
      <c r="E46" s="12">
        <v>980</v>
      </c>
      <c r="F46" s="74">
        <v>2212</v>
      </c>
      <c r="G46" s="74">
        <v>840</v>
      </c>
      <c r="H46" s="74">
        <v>2205</v>
      </c>
      <c r="I46" s="74">
        <v>837</v>
      </c>
      <c r="J46" s="8">
        <v>2215</v>
      </c>
      <c r="K46" s="8">
        <v>682</v>
      </c>
      <c r="L46" s="8">
        <v>2220</v>
      </c>
      <c r="M46" s="8">
        <v>665</v>
      </c>
    </row>
    <row r="47" spans="1:13" x14ac:dyDescent="0.25">
      <c r="B47" s="1">
        <v>44</v>
      </c>
      <c r="C47" s="1">
        <v>408</v>
      </c>
      <c r="D47" s="12">
        <v>2220</v>
      </c>
      <c r="E47" s="12">
        <v>978</v>
      </c>
      <c r="F47" s="74">
        <v>2222</v>
      </c>
      <c r="G47" s="74">
        <v>838</v>
      </c>
      <c r="H47" s="74">
        <v>2222</v>
      </c>
      <c r="I47" s="74">
        <v>835</v>
      </c>
      <c r="J47" s="8">
        <v>2220</v>
      </c>
      <c r="K47" s="8">
        <v>672</v>
      </c>
      <c r="L47" s="8">
        <v>2215</v>
      </c>
      <c r="M47" s="8">
        <v>672</v>
      </c>
    </row>
    <row r="48" spans="1:13" x14ac:dyDescent="0.25">
      <c r="B48" s="1">
        <v>45</v>
      </c>
      <c r="C48" s="1">
        <v>409</v>
      </c>
      <c r="D48" s="1">
        <v>2203</v>
      </c>
      <c r="E48" s="1">
        <v>964</v>
      </c>
      <c r="F48" s="74">
        <v>2195</v>
      </c>
      <c r="G48" s="74">
        <v>837</v>
      </c>
      <c r="H48" s="74">
        <v>2195</v>
      </c>
      <c r="I48" s="74">
        <v>837</v>
      </c>
      <c r="J48" s="8">
        <v>2215</v>
      </c>
      <c r="K48" s="8">
        <v>673</v>
      </c>
      <c r="L48" s="8">
        <v>2230</v>
      </c>
      <c r="M48" s="8">
        <v>675</v>
      </c>
    </row>
    <row r="49" spans="2:13" x14ac:dyDescent="0.25">
      <c r="B49" s="1">
        <v>46</v>
      </c>
      <c r="C49" s="1">
        <v>410</v>
      </c>
      <c r="D49" s="12">
        <v>2210</v>
      </c>
      <c r="E49" s="12">
        <v>964</v>
      </c>
      <c r="F49" s="74">
        <v>2215</v>
      </c>
      <c r="G49" s="74">
        <v>838</v>
      </c>
      <c r="H49" s="74">
        <v>2218</v>
      </c>
      <c r="I49" s="74">
        <v>838</v>
      </c>
      <c r="J49" s="8">
        <v>2230</v>
      </c>
      <c r="K49" s="8">
        <v>670</v>
      </c>
      <c r="L49" s="8">
        <v>2235</v>
      </c>
      <c r="M49" s="8">
        <v>670</v>
      </c>
    </row>
    <row r="50" spans="2:13" x14ac:dyDescent="0.25">
      <c r="B50" s="1">
        <v>47</v>
      </c>
      <c r="C50" s="1">
        <v>411</v>
      </c>
      <c r="D50" s="12">
        <v>2215</v>
      </c>
      <c r="E50" s="12">
        <v>968</v>
      </c>
      <c r="F50" s="74">
        <v>2207</v>
      </c>
      <c r="G50" s="74">
        <v>842</v>
      </c>
      <c r="H50" s="74">
        <v>2210</v>
      </c>
      <c r="I50" s="74">
        <v>838</v>
      </c>
      <c r="J50" s="8">
        <v>2205</v>
      </c>
      <c r="K50" s="8">
        <v>675</v>
      </c>
      <c r="L50" s="8">
        <v>2205</v>
      </c>
      <c r="M50" s="8">
        <v>675</v>
      </c>
    </row>
    <row r="51" spans="2:13" x14ac:dyDescent="0.25">
      <c r="B51" s="1">
        <v>48</v>
      </c>
      <c r="C51" s="1">
        <v>412</v>
      </c>
      <c r="D51" s="75">
        <v>2240</v>
      </c>
      <c r="E51" s="75">
        <v>963</v>
      </c>
      <c r="F51" s="74">
        <v>2205</v>
      </c>
      <c r="G51" s="74">
        <v>818</v>
      </c>
      <c r="H51" s="74">
        <v>2207</v>
      </c>
      <c r="I51" s="74">
        <v>822</v>
      </c>
      <c r="J51" s="8">
        <v>2235</v>
      </c>
      <c r="K51" s="8">
        <v>662</v>
      </c>
      <c r="L51" s="8">
        <v>2225</v>
      </c>
      <c r="M51" s="8">
        <v>688</v>
      </c>
    </row>
    <row r="52" spans="2:13" x14ac:dyDescent="0.25">
      <c r="B52" s="1">
        <v>49</v>
      </c>
      <c r="C52" s="1">
        <v>501</v>
      </c>
      <c r="D52" s="50">
        <v>2203</v>
      </c>
      <c r="E52" s="50">
        <v>960</v>
      </c>
      <c r="F52" s="74">
        <v>2218</v>
      </c>
      <c r="G52" s="74">
        <v>833</v>
      </c>
      <c r="H52" s="74">
        <v>2220</v>
      </c>
      <c r="I52" s="74">
        <v>835</v>
      </c>
      <c r="J52" s="8">
        <v>2250</v>
      </c>
      <c r="K52" s="8">
        <v>663</v>
      </c>
      <c r="L52" s="8">
        <v>2240</v>
      </c>
      <c r="M52" s="8">
        <v>670</v>
      </c>
    </row>
    <row r="53" spans="2:13" x14ac:dyDescent="0.25">
      <c r="B53" s="1">
        <v>50</v>
      </c>
      <c r="C53" s="1">
        <v>502</v>
      </c>
      <c r="D53" s="50">
        <v>2200</v>
      </c>
      <c r="E53" s="50">
        <v>948</v>
      </c>
      <c r="F53" s="74">
        <v>2192</v>
      </c>
      <c r="G53" s="74">
        <v>835</v>
      </c>
      <c r="H53" s="74">
        <v>2192</v>
      </c>
      <c r="I53" s="74">
        <v>837</v>
      </c>
      <c r="J53" s="8">
        <v>2215</v>
      </c>
      <c r="K53" s="8">
        <v>672</v>
      </c>
      <c r="L53" s="8">
        <v>2215</v>
      </c>
      <c r="M53" s="8">
        <v>672</v>
      </c>
    </row>
    <row r="54" spans="2:13" x14ac:dyDescent="0.25">
      <c r="B54" s="1">
        <v>51</v>
      </c>
      <c r="C54" s="1">
        <v>503</v>
      </c>
      <c r="D54" s="17">
        <v>2215</v>
      </c>
      <c r="E54" s="17">
        <v>953</v>
      </c>
      <c r="F54" s="71">
        <v>2197</v>
      </c>
      <c r="G54" s="71">
        <v>837</v>
      </c>
      <c r="H54" s="74">
        <v>2192</v>
      </c>
      <c r="I54" s="74">
        <v>832</v>
      </c>
      <c r="J54" s="8">
        <v>2200</v>
      </c>
      <c r="K54" s="8">
        <v>655</v>
      </c>
      <c r="L54" s="8">
        <v>2220</v>
      </c>
      <c r="M54" s="8">
        <v>674</v>
      </c>
    </row>
    <row r="55" spans="2:13" x14ac:dyDescent="0.25">
      <c r="B55" s="1">
        <v>52</v>
      </c>
      <c r="C55" s="1">
        <v>504</v>
      </c>
      <c r="D55" s="50">
        <v>2200</v>
      </c>
      <c r="E55" s="50">
        <v>960</v>
      </c>
      <c r="F55" s="74">
        <v>2207</v>
      </c>
      <c r="G55" s="74">
        <v>837</v>
      </c>
      <c r="H55" s="74">
        <v>2205</v>
      </c>
      <c r="I55" s="74">
        <v>835</v>
      </c>
      <c r="J55" s="8">
        <v>2220</v>
      </c>
      <c r="K55" s="8">
        <v>647</v>
      </c>
      <c r="L55" s="8">
        <v>2210</v>
      </c>
      <c r="M55" s="8">
        <v>680</v>
      </c>
    </row>
    <row r="56" spans="2:13" x14ac:dyDescent="0.25">
      <c r="B56" s="1">
        <v>53</v>
      </c>
      <c r="C56" s="1">
        <v>505</v>
      </c>
      <c r="D56" s="17">
        <v>2193</v>
      </c>
      <c r="E56" s="17">
        <v>968</v>
      </c>
      <c r="F56" s="74">
        <v>2192</v>
      </c>
      <c r="G56" s="74">
        <v>822</v>
      </c>
      <c r="H56" s="74">
        <v>2195</v>
      </c>
      <c r="I56" s="74">
        <v>823</v>
      </c>
      <c r="J56" s="8">
        <v>2190</v>
      </c>
      <c r="K56" s="8">
        <v>667</v>
      </c>
      <c r="L56" s="8">
        <v>2215</v>
      </c>
      <c r="M56" s="8">
        <v>667</v>
      </c>
    </row>
    <row r="57" spans="2:13" x14ac:dyDescent="0.25">
      <c r="B57" s="1">
        <v>54</v>
      </c>
      <c r="C57" s="1">
        <v>506</v>
      </c>
      <c r="D57" s="51">
        <v>2203</v>
      </c>
      <c r="E57" s="51">
        <v>952</v>
      </c>
      <c r="F57" s="74">
        <v>2157</v>
      </c>
      <c r="G57" s="74">
        <v>840</v>
      </c>
      <c r="H57" s="1">
        <v>2165</v>
      </c>
      <c r="I57" s="1">
        <v>837</v>
      </c>
      <c r="J57" s="8">
        <v>2190</v>
      </c>
      <c r="K57" s="8">
        <v>672</v>
      </c>
      <c r="L57" s="8">
        <v>2190</v>
      </c>
      <c r="M57" s="8">
        <v>677</v>
      </c>
    </row>
    <row r="58" spans="2:13" x14ac:dyDescent="0.25">
      <c r="B58" s="1">
        <v>55</v>
      </c>
      <c r="C58" s="1">
        <v>507</v>
      </c>
      <c r="D58" s="75">
        <v>2188</v>
      </c>
      <c r="E58" s="75">
        <v>951</v>
      </c>
      <c r="F58" s="74">
        <v>2190</v>
      </c>
      <c r="G58" s="74">
        <v>837</v>
      </c>
      <c r="H58" s="50">
        <v>2190</v>
      </c>
      <c r="I58" s="50">
        <v>838</v>
      </c>
      <c r="J58" s="8">
        <v>2210</v>
      </c>
      <c r="K58" s="8">
        <v>677</v>
      </c>
      <c r="L58" s="8">
        <v>2210</v>
      </c>
      <c r="M58" s="8">
        <v>669</v>
      </c>
    </row>
    <row r="59" spans="2:13" x14ac:dyDescent="0.25">
      <c r="B59" s="1">
        <v>56</v>
      </c>
      <c r="C59" s="1">
        <v>508</v>
      </c>
      <c r="D59" s="13">
        <v>2208</v>
      </c>
      <c r="E59" s="13">
        <v>973</v>
      </c>
      <c r="F59" s="74">
        <v>2200</v>
      </c>
      <c r="G59" s="74">
        <v>836</v>
      </c>
      <c r="H59" s="74">
        <v>2200</v>
      </c>
      <c r="I59" s="74">
        <v>833</v>
      </c>
      <c r="J59" s="8">
        <v>2235</v>
      </c>
      <c r="K59" s="8">
        <v>676</v>
      </c>
      <c r="L59" s="8">
        <v>2230</v>
      </c>
      <c r="M59" s="8">
        <v>667</v>
      </c>
    </row>
    <row r="60" spans="2:13" x14ac:dyDescent="0.25">
      <c r="B60" s="1">
        <v>57</v>
      </c>
      <c r="C60" s="1">
        <v>509</v>
      </c>
      <c r="D60" s="17">
        <v>2187</v>
      </c>
      <c r="E60" s="17">
        <v>966</v>
      </c>
      <c r="F60" s="50">
        <v>2190</v>
      </c>
      <c r="G60" s="50">
        <v>835</v>
      </c>
      <c r="H60" s="50">
        <v>2193</v>
      </c>
      <c r="I60" s="50">
        <v>835</v>
      </c>
      <c r="J60" s="8">
        <v>2225</v>
      </c>
      <c r="K60" s="8">
        <v>678</v>
      </c>
      <c r="L60" s="8">
        <v>2190</v>
      </c>
      <c r="M60" s="8">
        <v>683</v>
      </c>
    </row>
    <row r="61" spans="2:13" x14ac:dyDescent="0.25">
      <c r="B61" s="1">
        <v>58</v>
      </c>
      <c r="C61" s="1">
        <v>510</v>
      </c>
      <c r="D61" s="17">
        <v>2195</v>
      </c>
      <c r="E61" s="17">
        <v>965</v>
      </c>
      <c r="F61" s="50">
        <v>2190</v>
      </c>
      <c r="G61" s="50">
        <v>835</v>
      </c>
      <c r="H61" s="50">
        <v>2188</v>
      </c>
      <c r="I61" s="50">
        <v>834</v>
      </c>
      <c r="J61" s="8">
        <v>2225</v>
      </c>
      <c r="K61" s="8">
        <v>677</v>
      </c>
      <c r="L61" s="8">
        <v>2200</v>
      </c>
      <c r="M61" s="8">
        <v>670</v>
      </c>
    </row>
    <row r="62" spans="2:13" x14ac:dyDescent="0.25">
      <c r="B62" s="1">
        <v>59</v>
      </c>
      <c r="C62" s="1">
        <v>511</v>
      </c>
      <c r="D62" s="50">
        <v>2188</v>
      </c>
      <c r="E62" s="50">
        <v>964</v>
      </c>
      <c r="F62" s="50">
        <v>2192</v>
      </c>
      <c r="G62" s="50">
        <v>834</v>
      </c>
      <c r="H62" s="50">
        <v>2192</v>
      </c>
      <c r="I62" s="50">
        <v>834</v>
      </c>
      <c r="J62" s="8">
        <v>2210</v>
      </c>
      <c r="K62" s="8">
        <v>668</v>
      </c>
      <c r="L62" s="8">
        <v>2190</v>
      </c>
      <c r="M62" s="8">
        <v>676</v>
      </c>
    </row>
    <row r="63" spans="2:13" x14ac:dyDescent="0.25">
      <c r="B63" s="1">
        <v>60</v>
      </c>
      <c r="C63" s="1">
        <v>512</v>
      </c>
      <c r="D63" s="50">
        <v>2190</v>
      </c>
      <c r="E63" s="50">
        <v>965</v>
      </c>
      <c r="F63" s="50">
        <v>2190</v>
      </c>
      <c r="G63" s="50">
        <v>833</v>
      </c>
      <c r="H63" s="50">
        <v>2197</v>
      </c>
      <c r="I63" s="50">
        <v>835</v>
      </c>
      <c r="J63" s="8">
        <v>2220</v>
      </c>
      <c r="K63" s="8">
        <v>660</v>
      </c>
      <c r="L63" s="8">
        <v>2190</v>
      </c>
      <c r="M63" s="8">
        <v>672</v>
      </c>
    </row>
    <row r="64" spans="2:13" x14ac:dyDescent="0.25">
      <c r="B64" s="1">
        <v>61</v>
      </c>
      <c r="C64" s="1">
        <v>601</v>
      </c>
      <c r="D64" s="50">
        <v>2190</v>
      </c>
      <c r="E64" s="50">
        <v>965</v>
      </c>
      <c r="F64" s="74">
        <v>2295</v>
      </c>
      <c r="G64" s="74">
        <v>835</v>
      </c>
      <c r="H64" s="74">
        <v>2193</v>
      </c>
      <c r="I64" s="74">
        <v>837</v>
      </c>
      <c r="J64" s="8">
        <v>2230</v>
      </c>
      <c r="K64" s="8">
        <v>680</v>
      </c>
      <c r="L64" s="8">
        <v>2210</v>
      </c>
      <c r="M64" s="8">
        <v>675</v>
      </c>
    </row>
    <row r="65" spans="2:13" x14ac:dyDescent="0.25">
      <c r="B65" s="1">
        <v>62</v>
      </c>
      <c r="C65" s="1">
        <v>602</v>
      </c>
      <c r="D65" s="75">
        <v>2183</v>
      </c>
      <c r="E65" s="75">
        <v>963</v>
      </c>
      <c r="F65" s="71">
        <v>2200</v>
      </c>
      <c r="G65" s="71">
        <v>848</v>
      </c>
      <c r="H65" s="74">
        <v>2188</v>
      </c>
      <c r="I65" s="74">
        <v>823</v>
      </c>
      <c r="J65" s="50">
        <v>2225</v>
      </c>
      <c r="K65" s="50">
        <v>672</v>
      </c>
      <c r="L65" s="8">
        <v>2245</v>
      </c>
      <c r="M65" s="8">
        <v>673</v>
      </c>
    </row>
    <row r="66" spans="2:13" x14ac:dyDescent="0.25">
      <c r="B66" s="1">
        <v>63</v>
      </c>
      <c r="C66" s="1">
        <v>603</v>
      </c>
      <c r="D66" s="17">
        <v>2195</v>
      </c>
      <c r="E66" s="17">
        <v>960</v>
      </c>
      <c r="F66" s="74">
        <v>2200</v>
      </c>
      <c r="G66" s="74">
        <v>825</v>
      </c>
      <c r="H66" s="74">
        <v>2200</v>
      </c>
      <c r="I66" s="74">
        <v>823</v>
      </c>
      <c r="J66" s="8">
        <v>2245</v>
      </c>
      <c r="K66" s="8">
        <v>650</v>
      </c>
      <c r="L66" s="8">
        <v>2210</v>
      </c>
      <c r="M66" s="8">
        <v>675</v>
      </c>
    </row>
    <row r="67" spans="2:13" x14ac:dyDescent="0.25">
      <c r="B67" s="1">
        <v>64</v>
      </c>
      <c r="C67" s="1">
        <v>604</v>
      </c>
      <c r="D67" s="17">
        <v>2190</v>
      </c>
      <c r="E67" s="17">
        <v>976</v>
      </c>
      <c r="F67" s="74">
        <v>2190</v>
      </c>
      <c r="G67" s="74">
        <v>830</v>
      </c>
      <c r="H67" s="74">
        <v>2192</v>
      </c>
      <c r="I67" s="74">
        <v>835</v>
      </c>
      <c r="J67" s="8">
        <v>2240</v>
      </c>
      <c r="K67" s="8">
        <v>670</v>
      </c>
      <c r="L67" s="8">
        <v>2205</v>
      </c>
      <c r="M67" s="8">
        <v>675</v>
      </c>
    </row>
    <row r="68" spans="2:13" x14ac:dyDescent="0.25">
      <c r="B68" s="1">
        <v>65</v>
      </c>
      <c r="C68" s="1">
        <v>605</v>
      </c>
      <c r="D68" s="17">
        <v>2200</v>
      </c>
      <c r="E68" s="17">
        <v>971</v>
      </c>
      <c r="F68" s="74">
        <v>2198</v>
      </c>
      <c r="G68" s="74">
        <v>830</v>
      </c>
      <c r="H68" s="74">
        <v>2200</v>
      </c>
      <c r="I68" s="74">
        <v>832</v>
      </c>
      <c r="J68" s="8">
        <v>2210</v>
      </c>
      <c r="K68" s="8">
        <v>675</v>
      </c>
      <c r="L68" s="8">
        <v>2215</v>
      </c>
      <c r="M68" s="8">
        <v>676</v>
      </c>
    </row>
    <row r="69" spans="2:13" x14ac:dyDescent="0.25">
      <c r="B69" s="1">
        <v>66</v>
      </c>
      <c r="C69" s="1">
        <v>606</v>
      </c>
      <c r="D69" s="17">
        <v>2190</v>
      </c>
      <c r="E69" s="17">
        <v>954</v>
      </c>
      <c r="F69" s="74">
        <v>2178</v>
      </c>
      <c r="G69" s="74">
        <v>830</v>
      </c>
      <c r="H69" s="74">
        <v>2178</v>
      </c>
      <c r="I69" s="74">
        <v>830</v>
      </c>
      <c r="J69" s="8">
        <v>2205</v>
      </c>
      <c r="K69" s="8">
        <v>680</v>
      </c>
      <c r="L69" s="8">
        <v>2210</v>
      </c>
      <c r="M69" s="8">
        <v>676</v>
      </c>
    </row>
    <row r="70" spans="2:13" x14ac:dyDescent="0.25">
      <c r="B70" s="1">
        <v>67</v>
      </c>
      <c r="C70" s="1">
        <v>607</v>
      </c>
      <c r="D70" s="17">
        <v>2195</v>
      </c>
      <c r="E70" s="17">
        <v>964</v>
      </c>
      <c r="F70" s="71">
        <v>2200</v>
      </c>
      <c r="G70" s="71">
        <v>790</v>
      </c>
      <c r="H70" s="74">
        <v>2198</v>
      </c>
      <c r="I70" s="74">
        <v>835</v>
      </c>
      <c r="J70" s="8">
        <v>2210</v>
      </c>
      <c r="K70" s="8">
        <v>680</v>
      </c>
      <c r="L70" s="8">
        <v>2215</v>
      </c>
      <c r="M70" s="8">
        <v>676</v>
      </c>
    </row>
    <row r="71" spans="2:13" x14ac:dyDescent="0.25">
      <c r="B71" s="1">
        <v>68</v>
      </c>
      <c r="C71" s="1">
        <v>608</v>
      </c>
      <c r="D71" s="17">
        <v>2190</v>
      </c>
      <c r="E71" s="17">
        <v>958</v>
      </c>
      <c r="F71" s="74">
        <v>2193</v>
      </c>
      <c r="G71" s="74">
        <v>837</v>
      </c>
      <c r="H71" s="74">
        <v>2193</v>
      </c>
      <c r="I71" s="74">
        <v>837</v>
      </c>
      <c r="J71" s="8">
        <v>2220</v>
      </c>
      <c r="K71" s="8">
        <v>670</v>
      </c>
      <c r="L71" s="8">
        <v>2210</v>
      </c>
      <c r="M71" s="8">
        <v>665</v>
      </c>
    </row>
    <row r="72" spans="2:13" x14ac:dyDescent="0.25">
      <c r="B72" s="1">
        <v>69</v>
      </c>
      <c r="C72" s="1">
        <v>609</v>
      </c>
      <c r="D72" s="17">
        <v>2193</v>
      </c>
      <c r="E72" s="17">
        <v>964</v>
      </c>
      <c r="F72" s="50">
        <v>2193</v>
      </c>
      <c r="G72" s="50">
        <v>837</v>
      </c>
      <c r="H72" s="50">
        <v>2188</v>
      </c>
      <c r="I72" s="50">
        <v>834</v>
      </c>
      <c r="J72" s="8">
        <v>2235</v>
      </c>
      <c r="K72" s="8">
        <v>675</v>
      </c>
      <c r="L72" s="8">
        <v>2235</v>
      </c>
      <c r="M72" s="8">
        <v>673</v>
      </c>
    </row>
    <row r="73" spans="2:13" x14ac:dyDescent="0.25">
      <c r="B73" s="1">
        <v>70</v>
      </c>
      <c r="C73" s="1">
        <v>610</v>
      </c>
      <c r="D73" s="17">
        <v>2200</v>
      </c>
      <c r="E73" s="17">
        <v>965</v>
      </c>
      <c r="F73" s="50">
        <v>2198</v>
      </c>
      <c r="G73" s="50">
        <v>835</v>
      </c>
      <c r="H73" s="50">
        <v>2198</v>
      </c>
      <c r="I73" s="50">
        <v>833</v>
      </c>
      <c r="J73" s="8">
        <v>2230</v>
      </c>
      <c r="K73" s="8">
        <v>673</v>
      </c>
      <c r="L73" s="8">
        <v>2230</v>
      </c>
      <c r="M73" s="8">
        <v>668</v>
      </c>
    </row>
    <row r="74" spans="2:13" x14ac:dyDescent="0.25">
      <c r="B74" s="1">
        <v>71</v>
      </c>
      <c r="C74" s="1">
        <v>611</v>
      </c>
      <c r="D74" s="50">
        <v>2193</v>
      </c>
      <c r="E74" s="50">
        <v>958</v>
      </c>
      <c r="F74" s="50">
        <v>2184</v>
      </c>
      <c r="G74" s="50">
        <v>833</v>
      </c>
      <c r="H74" s="50">
        <v>2184</v>
      </c>
      <c r="I74" s="50">
        <v>835</v>
      </c>
      <c r="J74" s="8">
        <v>2230</v>
      </c>
      <c r="K74" s="8">
        <v>652</v>
      </c>
      <c r="L74" s="8">
        <v>2215</v>
      </c>
      <c r="M74" s="8">
        <v>671</v>
      </c>
    </row>
    <row r="75" spans="2:13" x14ac:dyDescent="0.25">
      <c r="B75" s="1">
        <v>72</v>
      </c>
      <c r="C75" s="1">
        <v>612</v>
      </c>
      <c r="D75" s="50">
        <v>2202</v>
      </c>
      <c r="E75" s="50">
        <v>963</v>
      </c>
      <c r="F75" s="50">
        <v>2203</v>
      </c>
      <c r="G75" s="50">
        <v>832</v>
      </c>
      <c r="H75" s="50">
        <v>2198</v>
      </c>
      <c r="I75" s="50">
        <v>834</v>
      </c>
      <c r="J75" s="8">
        <v>2220</v>
      </c>
      <c r="K75" s="8">
        <v>670</v>
      </c>
      <c r="L75" s="8">
        <v>2205</v>
      </c>
      <c r="M75" s="8">
        <v>675</v>
      </c>
    </row>
    <row r="76" spans="2:13" x14ac:dyDescent="0.25">
      <c r="B76" s="1">
        <v>73</v>
      </c>
      <c r="C76" s="1">
        <v>701</v>
      </c>
      <c r="D76" s="50">
        <v>2174</v>
      </c>
      <c r="E76" s="50">
        <v>968</v>
      </c>
      <c r="F76" s="74">
        <v>2175</v>
      </c>
      <c r="G76" s="74">
        <v>835</v>
      </c>
      <c r="H76" s="74">
        <v>2177</v>
      </c>
      <c r="I76" s="74">
        <v>835</v>
      </c>
      <c r="J76" s="8">
        <v>2220</v>
      </c>
      <c r="K76" s="8">
        <v>681</v>
      </c>
      <c r="L76" s="8">
        <v>2185</v>
      </c>
      <c r="M76" s="8">
        <v>677</v>
      </c>
    </row>
    <row r="77" spans="2:13" x14ac:dyDescent="0.25">
      <c r="B77" s="1">
        <v>74</v>
      </c>
      <c r="C77" s="1">
        <v>702</v>
      </c>
      <c r="D77" s="50">
        <v>2164</v>
      </c>
      <c r="E77" s="50">
        <v>974</v>
      </c>
      <c r="F77" s="74">
        <v>2190</v>
      </c>
      <c r="G77" s="74">
        <v>837</v>
      </c>
      <c r="H77" s="74">
        <v>2186</v>
      </c>
      <c r="I77" s="74">
        <v>837</v>
      </c>
      <c r="J77" s="8">
        <v>2190</v>
      </c>
      <c r="K77" s="8">
        <v>672</v>
      </c>
      <c r="L77" s="8">
        <v>2200</v>
      </c>
      <c r="M77" s="8">
        <v>674</v>
      </c>
    </row>
    <row r="78" spans="2:13" x14ac:dyDescent="0.25">
      <c r="B78" s="1">
        <v>75</v>
      </c>
      <c r="C78" s="1">
        <v>703</v>
      </c>
      <c r="D78" s="50">
        <v>2184</v>
      </c>
      <c r="E78" s="50">
        <v>958</v>
      </c>
      <c r="F78" s="74">
        <v>2188</v>
      </c>
      <c r="G78" s="74">
        <v>822</v>
      </c>
      <c r="H78" s="74">
        <v>2188</v>
      </c>
      <c r="I78" s="74">
        <v>820</v>
      </c>
      <c r="J78" s="8">
        <v>2220</v>
      </c>
      <c r="K78" s="8">
        <v>650</v>
      </c>
      <c r="L78" s="8">
        <v>2200</v>
      </c>
      <c r="M78" s="8">
        <v>673</v>
      </c>
    </row>
    <row r="79" spans="2:13" x14ac:dyDescent="0.25">
      <c r="B79" s="1">
        <v>76</v>
      </c>
      <c r="C79" s="1">
        <v>704</v>
      </c>
      <c r="D79" s="50">
        <v>2188</v>
      </c>
      <c r="E79" s="50">
        <v>967</v>
      </c>
      <c r="F79" s="74">
        <v>2205</v>
      </c>
      <c r="G79" s="74">
        <v>822</v>
      </c>
      <c r="H79" s="74">
        <v>2203</v>
      </c>
      <c r="I79" s="74">
        <v>825</v>
      </c>
      <c r="J79" s="8">
        <v>2215</v>
      </c>
      <c r="K79" s="8">
        <v>653</v>
      </c>
      <c r="L79" s="8">
        <v>2200</v>
      </c>
      <c r="M79" s="8">
        <v>684</v>
      </c>
    </row>
    <row r="80" spans="2:13" x14ac:dyDescent="0.25">
      <c r="B80" s="1">
        <v>77</v>
      </c>
      <c r="C80" s="1">
        <v>705</v>
      </c>
      <c r="D80" s="17">
        <v>2170</v>
      </c>
      <c r="E80" s="17">
        <v>958</v>
      </c>
      <c r="F80" s="74">
        <v>2170</v>
      </c>
      <c r="G80" s="74">
        <v>835</v>
      </c>
      <c r="H80" s="74">
        <v>2168</v>
      </c>
      <c r="I80" s="74">
        <v>835</v>
      </c>
      <c r="J80" s="8">
        <v>2180</v>
      </c>
      <c r="K80" s="8">
        <v>673</v>
      </c>
      <c r="L80" s="8">
        <v>2200</v>
      </c>
      <c r="M80" s="8">
        <v>671</v>
      </c>
    </row>
    <row r="81" spans="2:13" x14ac:dyDescent="0.25">
      <c r="B81" s="1">
        <v>78</v>
      </c>
      <c r="C81" s="1">
        <v>706</v>
      </c>
      <c r="D81" s="17">
        <v>2193</v>
      </c>
      <c r="E81" s="17">
        <v>960</v>
      </c>
      <c r="F81" s="74">
        <v>2190</v>
      </c>
      <c r="G81" s="74">
        <v>832</v>
      </c>
      <c r="H81" s="74">
        <v>2188</v>
      </c>
      <c r="I81" s="74">
        <v>830</v>
      </c>
      <c r="J81" s="8">
        <v>2200</v>
      </c>
      <c r="K81" s="8">
        <v>672</v>
      </c>
      <c r="L81" s="8">
        <v>2200</v>
      </c>
      <c r="M81" s="8">
        <v>675</v>
      </c>
    </row>
    <row r="82" spans="2:13" x14ac:dyDescent="0.25">
      <c r="B82" s="1">
        <v>79</v>
      </c>
      <c r="C82" s="1">
        <v>707</v>
      </c>
      <c r="D82" s="17">
        <v>2180</v>
      </c>
      <c r="E82" s="17">
        <v>967</v>
      </c>
      <c r="F82" s="74">
        <v>2190</v>
      </c>
      <c r="G82" s="74">
        <v>838</v>
      </c>
      <c r="H82" s="74">
        <v>2193</v>
      </c>
      <c r="I82" s="74">
        <v>838</v>
      </c>
      <c r="J82" s="8">
        <v>2210</v>
      </c>
      <c r="K82" s="8">
        <v>670</v>
      </c>
      <c r="L82" s="8">
        <v>2220</v>
      </c>
      <c r="M82" s="8">
        <v>670</v>
      </c>
    </row>
    <row r="83" spans="2:13" x14ac:dyDescent="0.25">
      <c r="B83" s="1">
        <v>80</v>
      </c>
      <c r="C83" s="1">
        <v>708</v>
      </c>
      <c r="D83" s="75">
        <v>2183</v>
      </c>
      <c r="E83" s="75">
        <v>958</v>
      </c>
      <c r="F83" s="72">
        <v>2200</v>
      </c>
      <c r="G83" s="72">
        <v>840</v>
      </c>
      <c r="H83" s="1">
        <v>2200</v>
      </c>
      <c r="I83" s="1">
        <v>838</v>
      </c>
      <c r="J83" s="50">
        <v>2210</v>
      </c>
      <c r="K83" s="50">
        <v>676</v>
      </c>
      <c r="L83" s="50">
        <v>2220</v>
      </c>
      <c r="M83" s="50">
        <v>678</v>
      </c>
    </row>
    <row r="84" spans="2:13" x14ac:dyDescent="0.25">
      <c r="B84" s="1">
        <v>81</v>
      </c>
      <c r="C84" s="1">
        <v>709</v>
      </c>
      <c r="D84" s="17">
        <v>2202</v>
      </c>
      <c r="E84" s="17">
        <v>961</v>
      </c>
      <c r="F84" s="50">
        <v>2193</v>
      </c>
      <c r="G84" s="50">
        <v>837</v>
      </c>
      <c r="H84" s="50">
        <v>2193</v>
      </c>
      <c r="I84" s="50">
        <v>836</v>
      </c>
      <c r="J84" s="8">
        <v>2200</v>
      </c>
      <c r="K84" s="8">
        <v>672</v>
      </c>
      <c r="L84" s="8">
        <v>2180</v>
      </c>
      <c r="M84" s="8">
        <v>673</v>
      </c>
    </row>
    <row r="85" spans="2:13" x14ac:dyDescent="0.25">
      <c r="B85" s="1">
        <v>82</v>
      </c>
      <c r="C85" s="1">
        <v>710</v>
      </c>
      <c r="D85" s="75">
        <v>2202</v>
      </c>
      <c r="E85" s="75">
        <v>966</v>
      </c>
      <c r="F85" s="50">
        <v>2183</v>
      </c>
      <c r="G85" s="50">
        <v>837</v>
      </c>
      <c r="H85" s="50">
        <v>2178</v>
      </c>
      <c r="I85" s="50">
        <v>838</v>
      </c>
      <c r="J85" s="102">
        <v>2220</v>
      </c>
      <c r="K85" s="102">
        <v>665</v>
      </c>
      <c r="L85" s="1">
        <v>2198</v>
      </c>
      <c r="M85" s="1">
        <v>667</v>
      </c>
    </row>
    <row r="86" spans="2:13" x14ac:dyDescent="0.25">
      <c r="B86" s="1">
        <v>83</v>
      </c>
      <c r="C86" s="1">
        <v>711</v>
      </c>
      <c r="D86" s="50">
        <v>2183</v>
      </c>
      <c r="E86" s="50">
        <v>967</v>
      </c>
      <c r="F86" s="50">
        <v>2167</v>
      </c>
      <c r="G86" s="50">
        <v>837</v>
      </c>
      <c r="H86" s="50">
        <v>2160</v>
      </c>
      <c r="I86" s="50">
        <v>833</v>
      </c>
      <c r="J86" s="8">
        <v>2260</v>
      </c>
      <c r="K86" s="8">
        <v>663</v>
      </c>
      <c r="L86" s="8">
        <v>2260</v>
      </c>
      <c r="M86" s="8">
        <v>671</v>
      </c>
    </row>
    <row r="87" spans="2:13" x14ac:dyDescent="0.25">
      <c r="B87" s="5">
        <v>84</v>
      </c>
      <c r="C87" s="5">
        <v>712</v>
      </c>
      <c r="D87" s="5" t="s">
        <v>9</v>
      </c>
      <c r="E87" s="5"/>
      <c r="F87" s="5"/>
      <c r="G87" s="5"/>
      <c r="H87" s="5"/>
      <c r="I87" s="5"/>
      <c r="J87" s="5"/>
      <c r="K87" s="5"/>
      <c r="L87" s="5"/>
      <c r="M87" s="5"/>
    </row>
    <row r="88" spans="2:13" x14ac:dyDescent="0.25">
      <c r="B88" s="1">
        <v>85</v>
      </c>
      <c r="C88" s="1">
        <v>801</v>
      </c>
      <c r="D88" s="50">
        <v>2194</v>
      </c>
      <c r="E88" s="50">
        <v>963</v>
      </c>
      <c r="F88" s="74">
        <v>2208</v>
      </c>
      <c r="G88" s="74">
        <v>832</v>
      </c>
      <c r="H88" s="74">
        <v>2210</v>
      </c>
      <c r="I88" s="74">
        <v>833</v>
      </c>
      <c r="J88" s="8">
        <v>2220</v>
      </c>
      <c r="K88" s="8">
        <v>680</v>
      </c>
      <c r="L88" s="8">
        <v>2210</v>
      </c>
      <c r="M88" s="8">
        <v>675</v>
      </c>
    </row>
    <row r="89" spans="2:13" x14ac:dyDescent="0.25">
      <c r="B89" s="1">
        <v>86</v>
      </c>
      <c r="C89" s="1">
        <v>802</v>
      </c>
      <c r="D89" s="50">
        <v>2188</v>
      </c>
      <c r="E89" s="50">
        <v>964</v>
      </c>
      <c r="F89" s="74">
        <v>2175</v>
      </c>
      <c r="G89" s="74">
        <v>830</v>
      </c>
      <c r="H89" s="74">
        <v>2175</v>
      </c>
      <c r="I89" s="74">
        <v>830</v>
      </c>
      <c r="J89" s="8">
        <v>2220</v>
      </c>
      <c r="K89" s="8">
        <v>670</v>
      </c>
      <c r="L89" s="8">
        <v>2190</v>
      </c>
      <c r="M89" s="8">
        <v>675</v>
      </c>
    </row>
    <row r="90" spans="2:13" x14ac:dyDescent="0.25">
      <c r="B90" s="1">
        <v>87</v>
      </c>
      <c r="C90" s="1">
        <v>803</v>
      </c>
      <c r="D90" s="17">
        <v>2195</v>
      </c>
      <c r="E90" s="17">
        <v>968</v>
      </c>
      <c r="F90" s="74">
        <v>2205</v>
      </c>
      <c r="G90" s="74">
        <v>802</v>
      </c>
      <c r="H90" s="74">
        <v>2203</v>
      </c>
      <c r="I90" s="74">
        <v>837</v>
      </c>
      <c r="J90" s="8">
        <v>2215</v>
      </c>
      <c r="K90" s="8">
        <v>655</v>
      </c>
      <c r="L90" s="8">
        <v>2225</v>
      </c>
      <c r="M90" s="8">
        <v>680</v>
      </c>
    </row>
    <row r="91" spans="2:13" x14ac:dyDescent="0.25">
      <c r="B91" s="1">
        <v>88</v>
      </c>
      <c r="C91" s="1">
        <v>804</v>
      </c>
      <c r="D91" s="17">
        <v>2205</v>
      </c>
      <c r="E91" s="17">
        <v>970</v>
      </c>
      <c r="F91" s="74">
        <v>2208</v>
      </c>
      <c r="G91" s="74">
        <v>820</v>
      </c>
      <c r="H91" s="74">
        <v>2208</v>
      </c>
      <c r="I91" s="74">
        <v>817</v>
      </c>
      <c r="J91" s="8">
        <v>2205</v>
      </c>
      <c r="K91" s="8">
        <v>664</v>
      </c>
      <c r="L91" s="8">
        <v>2220</v>
      </c>
      <c r="M91" s="8">
        <v>672</v>
      </c>
    </row>
    <row r="92" spans="2:13" x14ac:dyDescent="0.25">
      <c r="B92" s="1">
        <v>89</v>
      </c>
      <c r="C92" s="1">
        <v>805</v>
      </c>
      <c r="D92" s="50">
        <v>2174</v>
      </c>
      <c r="E92" s="50">
        <v>963</v>
      </c>
      <c r="F92" s="74">
        <v>2178</v>
      </c>
      <c r="G92" s="74">
        <v>830</v>
      </c>
      <c r="H92" s="74">
        <v>2178</v>
      </c>
      <c r="I92" s="74">
        <v>832</v>
      </c>
      <c r="J92" s="8">
        <v>2200</v>
      </c>
      <c r="K92" s="8">
        <v>676</v>
      </c>
      <c r="L92" s="8">
        <v>2200</v>
      </c>
      <c r="M92" s="8">
        <v>674</v>
      </c>
    </row>
    <row r="93" spans="2:13" x14ac:dyDescent="0.25">
      <c r="B93" s="1">
        <v>90</v>
      </c>
      <c r="C93" s="1">
        <v>806</v>
      </c>
      <c r="D93" s="17">
        <v>2185</v>
      </c>
      <c r="E93" s="17">
        <v>954</v>
      </c>
      <c r="F93" s="74">
        <v>2190</v>
      </c>
      <c r="G93" s="74">
        <v>837</v>
      </c>
      <c r="H93" s="74">
        <v>2190</v>
      </c>
      <c r="I93" s="74">
        <v>835</v>
      </c>
      <c r="J93" s="8">
        <v>2205</v>
      </c>
      <c r="K93" s="8">
        <v>675</v>
      </c>
      <c r="L93" s="8">
        <v>2210</v>
      </c>
      <c r="M93" s="8">
        <v>673</v>
      </c>
    </row>
    <row r="94" spans="2:13" x14ac:dyDescent="0.25">
      <c r="B94" s="1">
        <v>91</v>
      </c>
      <c r="C94" s="1">
        <v>807</v>
      </c>
      <c r="D94" s="17">
        <v>2160</v>
      </c>
      <c r="E94" s="17">
        <v>955</v>
      </c>
      <c r="F94" s="74">
        <v>2198</v>
      </c>
      <c r="G94" s="74">
        <v>832</v>
      </c>
      <c r="H94" s="74">
        <v>2198</v>
      </c>
      <c r="I94" s="74">
        <v>832</v>
      </c>
      <c r="J94" s="8">
        <v>2215</v>
      </c>
      <c r="K94" s="8">
        <v>675</v>
      </c>
      <c r="L94" s="8">
        <v>2210</v>
      </c>
      <c r="M94" s="8">
        <v>680</v>
      </c>
    </row>
    <row r="95" spans="2:13" x14ac:dyDescent="0.25">
      <c r="B95" s="1">
        <v>92</v>
      </c>
      <c r="C95" s="1">
        <v>808</v>
      </c>
      <c r="D95" s="50">
        <v>2174</v>
      </c>
      <c r="E95" s="50">
        <v>980</v>
      </c>
      <c r="F95" s="74">
        <v>2183</v>
      </c>
      <c r="G95" s="74">
        <v>833</v>
      </c>
      <c r="H95" s="74">
        <v>2183</v>
      </c>
      <c r="I95" s="74">
        <v>833</v>
      </c>
      <c r="J95" s="8">
        <v>2190</v>
      </c>
      <c r="K95" s="8">
        <v>673</v>
      </c>
      <c r="L95" s="8">
        <v>2200</v>
      </c>
      <c r="M95" s="8">
        <v>675</v>
      </c>
    </row>
    <row r="96" spans="2:13" x14ac:dyDescent="0.25">
      <c r="B96" s="1">
        <v>93</v>
      </c>
      <c r="C96" s="1">
        <v>809</v>
      </c>
      <c r="D96" s="17">
        <v>2170</v>
      </c>
      <c r="E96" s="17">
        <v>967</v>
      </c>
      <c r="F96" s="50">
        <v>2158</v>
      </c>
      <c r="G96" s="50">
        <v>837</v>
      </c>
      <c r="H96" s="50">
        <v>2160</v>
      </c>
      <c r="I96" s="50">
        <v>828</v>
      </c>
      <c r="J96" s="3"/>
      <c r="K96" s="3"/>
      <c r="L96" s="8">
        <v>2240</v>
      </c>
      <c r="M96" s="8">
        <v>678</v>
      </c>
    </row>
    <row r="97" spans="2:13" x14ac:dyDescent="0.25">
      <c r="B97" s="1">
        <v>94</v>
      </c>
      <c r="C97" s="1">
        <v>810</v>
      </c>
      <c r="D97" s="17">
        <v>2182</v>
      </c>
      <c r="E97" s="17">
        <v>970</v>
      </c>
      <c r="F97" s="50">
        <v>2182</v>
      </c>
      <c r="G97" s="50">
        <v>837</v>
      </c>
      <c r="H97" s="50">
        <v>2178</v>
      </c>
      <c r="I97" s="50">
        <v>834</v>
      </c>
      <c r="J97" s="8">
        <v>2240</v>
      </c>
      <c r="K97" s="8">
        <v>670</v>
      </c>
      <c r="L97" s="8">
        <v>2240</v>
      </c>
      <c r="M97" s="8">
        <v>681</v>
      </c>
    </row>
    <row r="98" spans="2:13" x14ac:dyDescent="0.25">
      <c r="B98" s="1">
        <v>95</v>
      </c>
      <c r="C98" s="1">
        <v>811</v>
      </c>
      <c r="D98" s="50">
        <v>2174</v>
      </c>
      <c r="E98" s="50">
        <v>967</v>
      </c>
      <c r="F98" s="50">
        <v>2170</v>
      </c>
      <c r="G98" s="50">
        <v>838</v>
      </c>
      <c r="H98" s="50">
        <v>2174</v>
      </c>
      <c r="I98" s="50">
        <v>835</v>
      </c>
      <c r="J98" s="8">
        <v>2195</v>
      </c>
      <c r="K98" s="8">
        <v>657</v>
      </c>
      <c r="L98" s="8">
        <v>2170</v>
      </c>
      <c r="M98" s="8">
        <v>682</v>
      </c>
    </row>
    <row r="99" spans="2:13" x14ac:dyDescent="0.25">
      <c r="B99" s="1">
        <v>96</v>
      </c>
      <c r="C99" s="1">
        <v>812</v>
      </c>
      <c r="D99" s="50">
        <v>2174</v>
      </c>
      <c r="E99" s="50">
        <v>967</v>
      </c>
      <c r="F99" s="50">
        <v>2180</v>
      </c>
      <c r="G99" s="50">
        <v>838</v>
      </c>
      <c r="H99" s="50">
        <v>2184</v>
      </c>
      <c r="I99" s="50">
        <v>824</v>
      </c>
      <c r="J99" s="8">
        <v>2200</v>
      </c>
      <c r="K99" s="8">
        <v>655</v>
      </c>
      <c r="L99" s="8">
        <v>2200</v>
      </c>
      <c r="M99" s="8">
        <v>686</v>
      </c>
    </row>
    <row r="100" spans="2:13" x14ac:dyDescent="0.25">
      <c r="B100" s="1">
        <v>97</v>
      </c>
      <c r="C100" s="1">
        <v>901</v>
      </c>
      <c r="D100" s="50">
        <v>2170</v>
      </c>
      <c r="E100" s="50">
        <v>960</v>
      </c>
      <c r="F100" s="74">
        <v>2183</v>
      </c>
      <c r="G100" s="74">
        <v>843</v>
      </c>
      <c r="H100" s="74">
        <v>2183</v>
      </c>
      <c r="I100" s="74">
        <v>835</v>
      </c>
      <c r="J100" s="8">
        <v>2210</v>
      </c>
      <c r="K100" s="8">
        <v>681</v>
      </c>
      <c r="L100" s="8">
        <v>2195</v>
      </c>
      <c r="M100" s="8">
        <v>676</v>
      </c>
    </row>
    <row r="101" spans="2:13" x14ac:dyDescent="0.25">
      <c r="B101" s="1">
        <v>98</v>
      </c>
      <c r="C101" s="1">
        <v>902</v>
      </c>
      <c r="D101" s="50">
        <v>2174</v>
      </c>
      <c r="E101" s="50">
        <v>970</v>
      </c>
      <c r="F101" s="74">
        <v>2190</v>
      </c>
      <c r="G101" s="74">
        <v>817</v>
      </c>
      <c r="H101" s="74">
        <v>2190</v>
      </c>
      <c r="I101" s="74">
        <v>815</v>
      </c>
      <c r="J101" s="8">
        <v>2210</v>
      </c>
      <c r="K101" s="8">
        <v>682</v>
      </c>
      <c r="L101" s="8">
        <v>2225</v>
      </c>
      <c r="M101" s="8">
        <v>681</v>
      </c>
    </row>
    <row r="102" spans="2:13" x14ac:dyDescent="0.25">
      <c r="B102" s="1">
        <v>99</v>
      </c>
      <c r="C102" s="1">
        <v>903</v>
      </c>
      <c r="D102" s="29">
        <v>2170</v>
      </c>
      <c r="E102" s="29">
        <v>954</v>
      </c>
      <c r="F102" s="74">
        <v>2175</v>
      </c>
      <c r="G102" s="74">
        <v>825</v>
      </c>
      <c r="H102" s="74">
        <v>2180</v>
      </c>
      <c r="I102" s="74">
        <v>823</v>
      </c>
      <c r="J102" s="8">
        <v>2210</v>
      </c>
      <c r="K102" s="8">
        <v>665</v>
      </c>
      <c r="L102" s="8">
        <v>2190</v>
      </c>
      <c r="M102" s="8">
        <v>678</v>
      </c>
    </row>
    <row r="103" spans="2:13" x14ac:dyDescent="0.25">
      <c r="B103" s="1">
        <v>100</v>
      </c>
      <c r="C103" s="1">
        <v>904</v>
      </c>
      <c r="D103" s="29">
        <v>2163</v>
      </c>
      <c r="E103" s="29">
        <v>976</v>
      </c>
      <c r="F103" s="74">
        <v>2180</v>
      </c>
      <c r="G103" s="74">
        <v>823</v>
      </c>
      <c r="H103" s="74">
        <v>2180</v>
      </c>
      <c r="I103" s="74">
        <v>823</v>
      </c>
      <c r="J103" s="8">
        <v>2195</v>
      </c>
      <c r="K103" s="8">
        <v>660</v>
      </c>
      <c r="L103" s="8">
        <v>2200</v>
      </c>
      <c r="M103" s="8">
        <v>672</v>
      </c>
    </row>
    <row r="104" spans="2:13" x14ac:dyDescent="0.25">
      <c r="B104" s="1">
        <v>101</v>
      </c>
      <c r="C104" s="1">
        <v>905</v>
      </c>
      <c r="D104" s="29">
        <v>2184</v>
      </c>
      <c r="E104" s="29">
        <v>967</v>
      </c>
      <c r="F104" s="74">
        <v>2195</v>
      </c>
      <c r="G104" s="74">
        <v>832</v>
      </c>
      <c r="H104" s="74">
        <v>2195</v>
      </c>
      <c r="I104" s="74">
        <v>832</v>
      </c>
      <c r="J104" s="8">
        <v>2230</v>
      </c>
      <c r="K104" s="8">
        <v>679</v>
      </c>
      <c r="L104" s="8">
        <v>2215</v>
      </c>
      <c r="M104" s="8">
        <v>680</v>
      </c>
    </row>
    <row r="105" spans="2:13" x14ac:dyDescent="0.25">
      <c r="B105" s="1">
        <v>102</v>
      </c>
      <c r="C105" s="1">
        <v>906</v>
      </c>
      <c r="D105" s="29">
        <v>2181</v>
      </c>
      <c r="E105" s="29">
        <v>952</v>
      </c>
      <c r="F105" s="74">
        <v>2165</v>
      </c>
      <c r="G105" s="74">
        <v>840</v>
      </c>
      <c r="H105" s="74">
        <v>2165</v>
      </c>
      <c r="I105" s="74">
        <v>840</v>
      </c>
      <c r="J105" s="8">
        <v>2175</v>
      </c>
      <c r="K105" s="8">
        <v>678</v>
      </c>
      <c r="L105" s="8">
        <v>2280</v>
      </c>
      <c r="M105" s="8">
        <v>675</v>
      </c>
    </row>
    <row r="106" spans="2:13" x14ac:dyDescent="0.25">
      <c r="B106" s="1">
        <v>103</v>
      </c>
      <c r="C106" s="1">
        <v>907</v>
      </c>
      <c r="D106" s="29">
        <v>2175</v>
      </c>
      <c r="E106" s="29">
        <v>958</v>
      </c>
      <c r="F106" s="74">
        <v>2175</v>
      </c>
      <c r="G106" s="74">
        <v>840</v>
      </c>
      <c r="H106" s="74">
        <v>2175</v>
      </c>
      <c r="I106" s="74">
        <v>837</v>
      </c>
      <c r="J106" s="8">
        <v>2170</v>
      </c>
      <c r="K106" s="8">
        <v>676</v>
      </c>
      <c r="L106" s="8">
        <v>2240</v>
      </c>
      <c r="M106" s="8">
        <v>677</v>
      </c>
    </row>
    <row r="107" spans="2:13" x14ac:dyDescent="0.25">
      <c r="B107" s="1">
        <v>104</v>
      </c>
      <c r="C107" s="1">
        <v>908</v>
      </c>
      <c r="D107" s="29">
        <v>2179</v>
      </c>
      <c r="E107" s="29">
        <v>982</v>
      </c>
      <c r="F107" s="74">
        <v>2180</v>
      </c>
      <c r="G107" s="74">
        <v>835</v>
      </c>
      <c r="H107" s="74">
        <v>2180</v>
      </c>
      <c r="I107" s="74">
        <v>837</v>
      </c>
      <c r="J107" s="8">
        <v>2205</v>
      </c>
      <c r="K107" s="8">
        <v>685</v>
      </c>
      <c r="L107" s="8">
        <v>2200</v>
      </c>
      <c r="M107" s="8">
        <v>693</v>
      </c>
    </row>
    <row r="108" spans="2:13" x14ac:dyDescent="0.25">
      <c r="B108" s="1">
        <v>105</v>
      </c>
      <c r="C108" s="1">
        <v>909</v>
      </c>
      <c r="D108" s="29">
        <v>2160</v>
      </c>
      <c r="E108" s="29">
        <v>965</v>
      </c>
      <c r="F108" s="76">
        <v>2168</v>
      </c>
      <c r="G108" s="76">
        <v>838</v>
      </c>
      <c r="H108" s="50">
        <v>2170</v>
      </c>
      <c r="I108" s="50">
        <v>832</v>
      </c>
      <c r="J108" s="8">
        <v>2195</v>
      </c>
      <c r="K108" s="8">
        <v>671</v>
      </c>
      <c r="L108" s="8">
        <v>2190</v>
      </c>
      <c r="M108" s="8">
        <v>678</v>
      </c>
    </row>
    <row r="109" spans="2:13" x14ac:dyDescent="0.25">
      <c r="B109" s="1">
        <v>106</v>
      </c>
      <c r="C109" s="1">
        <v>910</v>
      </c>
      <c r="D109" s="29">
        <v>2173</v>
      </c>
      <c r="E109" s="29">
        <v>965</v>
      </c>
      <c r="F109" s="50">
        <v>2175</v>
      </c>
      <c r="G109" s="50">
        <v>838</v>
      </c>
      <c r="H109" s="102">
        <v>2180</v>
      </c>
      <c r="I109" s="102">
        <v>838</v>
      </c>
      <c r="J109" s="8">
        <v>2200</v>
      </c>
      <c r="K109" s="8">
        <v>692</v>
      </c>
      <c r="L109" s="8">
        <v>2190</v>
      </c>
      <c r="M109" s="8">
        <v>684</v>
      </c>
    </row>
    <row r="110" spans="2:13" x14ac:dyDescent="0.25">
      <c r="B110" s="1">
        <v>107</v>
      </c>
      <c r="C110" s="1">
        <v>911</v>
      </c>
      <c r="D110" s="50">
        <v>2154</v>
      </c>
      <c r="E110" s="50">
        <v>963</v>
      </c>
      <c r="F110" s="50">
        <v>2168</v>
      </c>
      <c r="G110" s="50">
        <v>838</v>
      </c>
      <c r="H110" s="50">
        <v>2163</v>
      </c>
      <c r="I110" s="50">
        <v>837</v>
      </c>
      <c r="J110" s="8">
        <v>2195</v>
      </c>
      <c r="K110" s="8">
        <v>653</v>
      </c>
      <c r="L110" s="8">
        <v>2210</v>
      </c>
      <c r="M110" s="8">
        <v>694</v>
      </c>
    </row>
    <row r="111" spans="2:13" x14ac:dyDescent="0.25">
      <c r="B111" s="1">
        <v>108</v>
      </c>
      <c r="C111" s="1">
        <v>912</v>
      </c>
      <c r="D111" s="50">
        <v>2163</v>
      </c>
      <c r="E111" s="50">
        <v>968</v>
      </c>
      <c r="F111" s="50">
        <v>2182</v>
      </c>
      <c r="G111" s="50">
        <v>834</v>
      </c>
      <c r="H111" s="50">
        <v>2178</v>
      </c>
      <c r="I111" s="50">
        <v>832</v>
      </c>
      <c r="J111" s="103">
        <v>2198</v>
      </c>
      <c r="K111" s="103">
        <v>660</v>
      </c>
      <c r="L111" s="8">
        <v>2275</v>
      </c>
      <c r="M111" s="8">
        <v>680</v>
      </c>
    </row>
    <row r="112" spans="2:13" x14ac:dyDescent="0.25">
      <c r="B112" s="1">
        <v>109</v>
      </c>
      <c r="C112" s="1">
        <v>1001</v>
      </c>
      <c r="D112" s="50">
        <v>2198</v>
      </c>
      <c r="E112" s="50">
        <v>963</v>
      </c>
      <c r="F112" s="74">
        <v>2193</v>
      </c>
      <c r="G112" s="74">
        <v>833</v>
      </c>
      <c r="H112" s="74">
        <v>2200</v>
      </c>
      <c r="I112" s="74">
        <v>833</v>
      </c>
      <c r="J112" s="8">
        <v>2250</v>
      </c>
      <c r="K112" s="8">
        <v>672</v>
      </c>
      <c r="L112" s="8">
        <v>2220</v>
      </c>
      <c r="M112" s="8">
        <v>673</v>
      </c>
    </row>
    <row r="113" spans="2:13" x14ac:dyDescent="0.25">
      <c r="B113" s="1">
        <v>110</v>
      </c>
      <c r="C113" s="1">
        <v>1002</v>
      </c>
      <c r="D113" s="50">
        <v>2205</v>
      </c>
      <c r="E113" s="50">
        <v>955</v>
      </c>
      <c r="F113" s="74">
        <v>2200</v>
      </c>
      <c r="G113" s="74">
        <v>827</v>
      </c>
      <c r="H113" s="74">
        <v>2200</v>
      </c>
      <c r="I113" s="74">
        <v>823</v>
      </c>
      <c r="J113" s="8">
        <v>2215</v>
      </c>
      <c r="K113" s="8">
        <v>678</v>
      </c>
      <c r="L113" s="8">
        <v>2225</v>
      </c>
      <c r="M113" s="8">
        <v>680</v>
      </c>
    </row>
    <row r="114" spans="2:13" x14ac:dyDescent="0.25">
      <c r="B114" s="1">
        <v>111</v>
      </c>
      <c r="C114" s="1">
        <v>1003</v>
      </c>
      <c r="D114" s="50">
        <v>2194</v>
      </c>
      <c r="E114" s="50">
        <v>967</v>
      </c>
      <c r="F114" s="74">
        <v>2203</v>
      </c>
      <c r="G114" s="74">
        <v>827</v>
      </c>
      <c r="H114" s="74">
        <v>2208</v>
      </c>
      <c r="I114" s="74">
        <v>825</v>
      </c>
      <c r="J114" s="8">
        <v>2210</v>
      </c>
      <c r="K114" s="8">
        <v>649</v>
      </c>
      <c r="L114" s="8">
        <v>2215</v>
      </c>
      <c r="M114" s="8">
        <v>672</v>
      </c>
    </row>
    <row r="115" spans="2:13" x14ac:dyDescent="0.25">
      <c r="B115" s="1">
        <v>112</v>
      </c>
      <c r="C115" s="1">
        <v>1004</v>
      </c>
      <c r="D115" s="50">
        <v>2198</v>
      </c>
      <c r="E115" s="50">
        <v>963</v>
      </c>
      <c r="F115" s="74">
        <v>2195</v>
      </c>
      <c r="G115" s="74">
        <v>825</v>
      </c>
      <c r="H115" s="74">
        <v>2195</v>
      </c>
      <c r="I115" s="74">
        <v>825</v>
      </c>
      <c r="J115" s="8">
        <v>2220</v>
      </c>
      <c r="K115" s="8">
        <v>643</v>
      </c>
      <c r="L115" s="8">
        <v>2205</v>
      </c>
      <c r="M115" s="8">
        <v>669</v>
      </c>
    </row>
    <row r="116" spans="2:13" x14ac:dyDescent="0.25">
      <c r="B116" s="1">
        <v>113</v>
      </c>
      <c r="C116" s="1">
        <v>1005</v>
      </c>
      <c r="D116" s="1">
        <v>2220</v>
      </c>
      <c r="E116" s="1">
        <v>969</v>
      </c>
      <c r="F116" s="74">
        <v>2210</v>
      </c>
      <c r="G116" s="74">
        <v>823</v>
      </c>
      <c r="H116" s="74">
        <v>2210</v>
      </c>
      <c r="I116" s="74">
        <v>815</v>
      </c>
      <c r="J116" s="8">
        <v>2225</v>
      </c>
      <c r="K116" s="8">
        <v>688</v>
      </c>
      <c r="L116" s="8">
        <v>2230</v>
      </c>
      <c r="M116" s="8">
        <v>683</v>
      </c>
    </row>
    <row r="117" spans="2:13" x14ac:dyDescent="0.25">
      <c r="B117" s="1">
        <v>114</v>
      </c>
      <c r="C117" s="1">
        <v>1006</v>
      </c>
      <c r="D117" s="47">
        <v>2198</v>
      </c>
      <c r="E117" s="47">
        <v>968</v>
      </c>
      <c r="F117" s="74">
        <v>2200</v>
      </c>
      <c r="G117" s="74">
        <v>837</v>
      </c>
      <c r="H117" s="74">
        <v>2200</v>
      </c>
      <c r="I117" s="74">
        <v>835</v>
      </c>
      <c r="J117" s="8">
        <v>2210</v>
      </c>
      <c r="K117" s="8">
        <v>677</v>
      </c>
      <c r="L117" s="8">
        <v>2220</v>
      </c>
      <c r="M117" s="8">
        <v>679</v>
      </c>
    </row>
    <row r="118" spans="2:13" x14ac:dyDescent="0.25">
      <c r="B118" s="1">
        <v>115</v>
      </c>
      <c r="C118" s="1">
        <v>1007</v>
      </c>
      <c r="D118" s="1">
        <v>2173</v>
      </c>
      <c r="E118" s="1">
        <v>968</v>
      </c>
      <c r="F118" s="74">
        <v>2180</v>
      </c>
      <c r="G118" s="74">
        <v>840</v>
      </c>
      <c r="H118" s="1">
        <v>2215</v>
      </c>
      <c r="I118" s="1">
        <v>830</v>
      </c>
      <c r="J118" s="8">
        <v>2200</v>
      </c>
      <c r="K118" s="8">
        <v>682</v>
      </c>
      <c r="L118" s="8">
        <v>2200</v>
      </c>
      <c r="M118" s="8">
        <v>684</v>
      </c>
    </row>
    <row r="119" spans="2:13" x14ac:dyDescent="0.25">
      <c r="B119" s="1">
        <v>116</v>
      </c>
      <c r="C119" s="1">
        <v>1008</v>
      </c>
      <c r="D119" s="75">
        <v>2190</v>
      </c>
      <c r="E119" s="75">
        <v>996</v>
      </c>
      <c r="F119" s="74">
        <v>2180</v>
      </c>
      <c r="G119" s="74">
        <v>835</v>
      </c>
      <c r="H119" s="74">
        <v>2187</v>
      </c>
      <c r="I119" s="74">
        <v>830</v>
      </c>
      <c r="J119" s="8">
        <v>2190</v>
      </c>
      <c r="K119" s="8">
        <v>675</v>
      </c>
      <c r="L119" s="8">
        <v>2180</v>
      </c>
      <c r="M119" s="8">
        <v>685</v>
      </c>
    </row>
    <row r="120" spans="2:13" x14ac:dyDescent="0.25">
      <c r="B120" s="1">
        <v>117</v>
      </c>
      <c r="C120" s="1">
        <v>1009</v>
      </c>
      <c r="D120" s="50">
        <v>2188</v>
      </c>
      <c r="E120" s="50">
        <v>968</v>
      </c>
      <c r="F120" s="50">
        <v>2183</v>
      </c>
      <c r="G120" s="50">
        <v>837</v>
      </c>
      <c r="H120" s="1">
        <v>2183</v>
      </c>
      <c r="I120" s="1">
        <v>834</v>
      </c>
      <c r="J120" s="8">
        <v>2220</v>
      </c>
      <c r="K120" s="8">
        <v>678</v>
      </c>
      <c r="L120" s="8">
        <v>2220</v>
      </c>
      <c r="M120" s="8">
        <v>690</v>
      </c>
    </row>
    <row r="121" spans="2:13" x14ac:dyDescent="0.25">
      <c r="B121" s="1">
        <v>118</v>
      </c>
      <c r="C121" s="1">
        <v>1010</v>
      </c>
      <c r="D121" s="50">
        <v>2188</v>
      </c>
      <c r="E121" s="50">
        <v>963</v>
      </c>
      <c r="F121" s="50">
        <v>2190</v>
      </c>
      <c r="G121" s="50">
        <v>835</v>
      </c>
      <c r="H121" s="1">
        <v>2192</v>
      </c>
      <c r="I121" s="1">
        <v>832</v>
      </c>
      <c r="J121" s="8">
        <v>2220</v>
      </c>
      <c r="K121" s="8">
        <v>679</v>
      </c>
      <c r="L121" s="8">
        <v>2220</v>
      </c>
      <c r="M121" s="8">
        <v>674</v>
      </c>
    </row>
    <row r="122" spans="2:13" x14ac:dyDescent="0.25">
      <c r="B122" s="1">
        <v>119</v>
      </c>
      <c r="C122" s="1">
        <v>1011</v>
      </c>
      <c r="D122" s="50">
        <v>2210</v>
      </c>
      <c r="E122" s="50">
        <v>963</v>
      </c>
      <c r="F122" s="50">
        <v>2195</v>
      </c>
      <c r="G122" s="50">
        <v>840</v>
      </c>
      <c r="H122" s="50">
        <v>2198</v>
      </c>
      <c r="I122" s="50">
        <v>835</v>
      </c>
      <c r="J122" s="8">
        <v>2210</v>
      </c>
      <c r="K122" s="8">
        <v>656</v>
      </c>
      <c r="L122" s="8">
        <v>2220</v>
      </c>
      <c r="M122" s="8">
        <v>672</v>
      </c>
    </row>
    <row r="123" spans="2:13" x14ac:dyDescent="0.25">
      <c r="B123" s="1">
        <v>120</v>
      </c>
      <c r="C123" s="1">
        <v>1012</v>
      </c>
      <c r="D123" s="1">
        <v>2190</v>
      </c>
      <c r="E123" s="1">
        <v>966</v>
      </c>
      <c r="F123" s="50">
        <v>2195</v>
      </c>
      <c r="G123" s="50">
        <v>831</v>
      </c>
      <c r="H123" s="50">
        <v>2194</v>
      </c>
      <c r="I123" s="50">
        <v>833</v>
      </c>
      <c r="J123" s="8">
        <v>2220</v>
      </c>
      <c r="K123" s="8">
        <v>655</v>
      </c>
      <c r="L123" s="8">
        <v>2200</v>
      </c>
      <c r="M123" s="8">
        <v>678</v>
      </c>
    </row>
    <row r="124" spans="2:13" x14ac:dyDescent="0.25">
      <c r="B124" s="1">
        <v>121</v>
      </c>
      <c r="C124" s="1">
        <v>1101</v>
      </c>
      <c r="D124" s="50">
        <v>2204</v>
      </c>
      <c r="E124" s="50">
        <v>964</v>
      </c>
      <c r="F124" s="74">
        <v>2210</v>
      </c>
      <c r="G124" s="74">
        <v>833</v>
      </c>
      <c r="H124" s="74">
        <v>2210</v>
      </c>
      <c r="I124" s="74">
        <v>840</v>
      </c>
      <c r="J124" s="8">
        <v>2290</v>
      </c>
      <c r="K124" s="8">
        <v>668</v>
      </c>
      <c r="L124" s="8">
        <v>2200</v>
      </c>
      <c r="M124" s="8">
        <v>668</v>
      </c>
    </row>
    <row r="125" spans="2:13" x14ac:dyDescent="0.25">
      <c r="B125" s="1">
        <v>122</v>
      </c>
      <c r="C125" s="1">
        <v>1102</v>
      </c>
      <c r="D125" s="50">
        <v>2198</v>
      </c>
      <c r="E125" s="50">
        <v>971</v>
      </c>
      <c r="F125" s="74">
        <v>2200</v>
      </c>
      <c r="G125" s="74">
        <v>830</v>
      </c>
      <c r="H125" s="74">
        <v>2200</v>
      </c>
      <c r="I125" s="74">
        <v>825</v>
      </c>
      <c r="J125" s="8">
        <v>2230</v>
      </c>
      <c r="K125" s="8">
        <v>664</v>
      </c>
      <c r="L125" s="8">
        <v>2240</v>
      </c>
      <c r="M125" s="8">
        <v>663</v>
      </c>
    </row>
    <row r="126" spans="2:13" x14ac:dyDescent="0.25">
      <c r="B126" s="1">
        <v>123</v>
      </c>
      <c r="C126" s="1">
        <v>1103</v>
      </c>
      <c r="D126" s="1">
        <v>2173</v>
      </c>
      <c r="E126" s="1">
        <v>952</v>
      </c>
      <c r="F126" s="74">
        <v>2197</v>
      </c>
      <c r="G126" s="74">
        <v>832</v>
      </c>
      <c r="H126" s="74">
        <v>2200</v>
      </c>
      <c r="I126" s="74">
        <v>835</v>
      </c>
      <c r="J126" s="8">
        <v>2210</v>
      </c>
      <c r="K126" s="8">
        <v>651</v>
      </c>
      <c r="L126" s="8">
        <v>2215</v>
      </c>
      <c r="M126" s="8">
        <v>671</v>
      </c>
    </row>
    <row r="127" spans="2:13" x14ac:dyDescent="0.25">
      <c r="B127" s="1">
        <v>124</v>
      </c>
      <c r="C127" s="1">
        <v>1104</v>
      </c>
      <c r="D127" s="1">
        <v>2185</v>
      </c>
      <c r="E127" s="1">
        <v>965</v>
      </c>
      <c r="F127" s="74">
        <v>2193</v>
      </c>
      <c r="G127" s="74">
        <v>813</v>
      </c>
      <c r="H127" s="74">
        <v>2193</v>
      </c>
      <c r="I127" s="74">
        <v>815</v>
      </c>
      <c r="J127" s="8">
        <v>2215</v>
      </c>
      <c r="K127" s="8">
        <v>647</v>
      </c>
      <c r="L127" s="8">
        <v>2200</v>
      </c>
      <c r="M127" s="8">
        <v>665</v>
      </c>
    </row>
    <row r="128" spans="2:13" x14ac:dyDescent="0.25">
      <c r="B128" s="1">
        <v>125</v>
      </c>
      <c r="C128" s="1">
        <v>1105</v>
      </c>
      <c r="D128" s="1">
        <v>2205</v>
      </c>
      <c r="E128" s="1">
        <v>960</v>
      </c>
      <c r="F128" s="74">
        <v>2200</v>
      </c>
      <c r="G128" s="74">
        <v>833</v>
      </c>
      <c r="H128" s="74">
        <v>2202</v>
      </c>
      <c r="I128" s="74">
        <v>835</v>
      </c>
      <c r="J128" s="8">
        <v>2210</v>
      </c>
      <c r="K128" s="8">
        <v>673</v>
      </c>
      <c r="L128" s="8">
        <v>2205</v>
      </c>
      <c r="M128" s="8">
        <v>670</v>
      </c>
    </row>
    <row r="129" spans="2:13" x14ac:dyDescent="0.25">
      <c r="B129" s="1">
        <v>126</v>
      </c>
      <c r="C129" s="1">
        <v>1106</v>
      </c>
      <c r="D129" s="1">
        <v>2190</v>
      </c>
      <c r="E129" s="1">
        <v>955</v>
      </c>
      <c r="F129" s="74">
        <v>2185</v>
      </c>
      <c r="G129" s="74">
        <v>830</v>
      </c>
      <c r="H129" s="74">
        <v>2183</v>
      </c>
      <c r="I129" s="74">
        <v>828</v>
      </c>
      <c r="J129" s="8">
        <v>2195</v>
      </c>
      <c r="K129" s="8">
        <v>673</v>
      </c>
      <c r="L129" s="8">
        <v>2200</v>
      </c>
      <c r="M129" s="8">
        <v>673</v>
      </c>
    </row>
    <row r="130" spans="2:13" x14ac:dyDescent="0.25">
      <c r="B130" s="1">
        <v>127</v>
      </c>
      <c r="C130" s="1">
        <v>1107</v>
      </c>
      <c r="D130" s="1">
        <v>2190</v>
      </c>
      <c r="E130" s="1">
        <v>970</v>
      </c>
      <c r="F130" s="74">
        <v>2195</v>
      </c>
      <c r="G130" s="74">
        <v>838</v>
      </c>
      <c r="H130" s="71">
        <v>2207</v>
      </c>
      <c r="I130" s="71">
        <v>804</v>
      </c>
      <c r="J130" s="8">
        <v>2240</v>
      </c>
      <c r="K130" s="8">
        <v>676</v>
      </c>
      <c r="L130" s="8">
        <v>2235</v>
      </c>
      <c r="M130" s="8">
        <v>675</v>
      </c>
    </row>
    <row r="131" spans="2:13" x14ac:dyDescent="0.25">
      <c r="B131" s="1">
        <v>128</v>
      </c>
      <c r="C131" s="1">
        <v>1108</v>
      </c>
      <c r="D131" s="1">
        <v>2215</v>
      </c>
      <c r="E131" s="1">
        <v>965</v>
      </c>
      <c r="F131" s="74">
        <v>2208</v>
      </c>
      <c r="G131" s="74">
        <v>837</v>
      </c>
      <c r="H131" s="74">
        <v>2208</v>
      </c>
      <c r="I131" s="74">
        <v>837</v>
      </c>
      <c r="J131" s="8">
        <v>2225</v>
      </c>
      <c r="K131" s="8">
        <v>671</v>
      </c>
      <c r="L131" s="8">
        <v>2230</v>
      </c>
      <c r="M131" s="8">
        <v>680</v>
      </c>
    </row>
    <row r="132" spans="2:13" x14ac:dyDescent="0.25">
      <c r="B132" s="1">
        <v>129</v>
      </c>
      <c r="C132" s="1">
        <v>1109</v>
      </c>
      <c r="D132" s="1">
        <v>2218</v>
      </c>
      <c r="E132" s="1">
        <v>965</v>
      </c>
      <c r="F132" s="50">
        <v>2208</v>
      </c>
      <c r="G132" s="50">
        <v>835</v>
      </c>
      <c r="H132" s="1">
        <v>2212</v>
      </c>
      <c r="I132" s="1">
        <v>830</v>
      </c>
      <c r="J132" s="8">
        <v>2225</v>
      </c>
      <c r="K132" s="8">
        <v>677</v>
      </c>
      <c r="L132" s="8">
        <v>2210</v>
      </c>
      <c r="M132" s="8">
        <v>685</v>
      </c>
    </row>
    <row r="133" spans="2:13" x14ac:dyDescent="0.25">
      <c r="B133" s="1">
        <v>130</v>
      </c>
      <c r="C133" s="1">
        <v>1110</v>
      </c>
      <c r="D133" s="1">
        <v>2210</v>
      </c>
      <c r="E133" s="1">
        <v>965</v>
      </c>
      <c r="F133" s="50">
        <v>2204</v>
      </c>
      <c r="G133" s="50">
        <v>835</v>
      </c>
      <c r="H133" s="50">
        <v>2204</v>
      </c>
      <c r="I133" s="50">
        <v>833</v>
      </c>
      <c r="J133" s="50">
        <v>2260</v>
      </c>
      <c r="K133" s="50">
        <v>675</v>
      </c>
      <c r="L133" s="50">
        <v>2227</v>
      </c>
      <c r="M133" s="50">
        <v>680</v>
      </c>
    </row>
    <row r="134" spans="2:13" x14ac:dyDescent="0.25">
      <c r="B134" s="1">
        <v>131</v>
      </c>
      <c r="C134" s="1">
        <v>1111</v>
      </c>
      <c r="D134" s="50">
        <v>2208</v>
      </c>
      <c r="E134" s="50">
        <v>968</v>
      </c>
      <c r="F134" s="50">
        <v>2200</v>
      </c>
      <c r="G134" s="50">
        <v>838</v>
      </c>
      <c r="H134" s="50">
        <v>2198</v>
      </c>
      <c r="I134" s="50">
        <v>834</v>
      </c>
      <c r="J134" s="8">
        <v>2215</v>
      </c>
      <c r="K134" s="8">
        <v>652</v>
      </c>
      <c r="L134" s="8">
        <v>2230</v>
      </c>
      <c r="M134" s="8">
        <v>680</v>
      </c>
    </row>
    <row r="135" spans="2:13" x14ac:dyDescent="0.25">
      <c r="B135" s="1">
        <v>132</v>
      </c>
      <c r="C135" s="1">
        <v>1112</v>
      </c>
      <c r="D135" s="1">
        <v>2204</v>
      </c>
      <c r="E135" s="1">
        <v>961</v>
      </c>
      <c r="F135" s="76">
        <v>2215</v>
      </c>
      <c r="G135" s="76">
        <v>830</v>
      </c>
      <c r="H135" s="1">
        <v>2215</v>
      </c>
      <c r="I135" s="1">
        <v>832</v>
      </c>
      <c r="J135" s="8">
        <v>2215</v>
      </c>
      <c r="K135" s="8">
        <v>658</v>
      </c>
      <c r="L135" s="8">
        <v>2215</v>
      </c>
      <c r="M135" s="8">
        <v>675</v>
      </c>
    </row>
    <row r="136" spans="2:13" x14ac:dyDescent="0.25">
      <c r="B136" s="1">
        <v>133</v>
      </c>
      <c r="C136" s="1">
        <v>1201</v>
      </c>
      <c r="D136" s="50">
        <v>2187</v>
      </c>
      <c r="E136" s="50">
        <v>958</v>
      </c>
      <c r="F136" s="74">
        <v>2185</v>
      </c>
      <c r="G136" s="74">
        <v>839</v>
      </c>
      <c r="H136" s="74">
        <v>2190</v>
      </c>
      <c r="I136" s="74">
        <v>837</v>
      </c>
      <c r="J136" s="8">
        <v>2235</v>
      </c>
      <c r="K136" s="8">
        <v>670</v>
      </c>
      <c r="L136" s="8">
        <v>2200</v>
      </c>
      <c r="M136" s="8">
        <v>667</v>
      </c>
    </row>
    <row r="137" spans="2:13" x14ac:dyDescent="0.25">
      <c r="B137" s="1">
        <v>134</v>
      </c>
      <c r="C137" s="1">
        <v>1202</v>
      </c>
      <c r="D137" s="50">
        <v>2194</v>
      </c>
      <c r="E137" s="50">
        <v>963</v>
      </c>
      <c r="F137" s="74">
        <v>2200</v>
      </c>
      <c r="G137" s="74">
        <v>827</v>
      </c>
      <c r="H137" s="74">
        <v>2200</v>
      </c>
      <c r="I137" s="74">
        <v>827</v>
      </c>
      <c r="J137" s="8">
        <v>2210</v>
      </c>
      <c r="K137" s="8">
        <v>671</v>
      </c>
      <c r="L137" s="8">
        <v>2210</v>
      </c>
      <c r="M137" s="8">
        <v>670</v>
      </c>
    </row>
    <row r="138" spans="2:13" x14ac:dyDescent="0.25">
      <c r="B138" s="1">
        <v>135</v>
      </c>
      <c r="C138" s="1">
        <v>1203</v>
      </c>
      <c r="D138" s="28">
        <v>2190</v>
      </c>
      <c r="E138" s="28">
        <v>960</v>
      </c>
      <c r="F138" s="74">
        <v>2190</v>
      </c>
      <c r="G138" s="74">
        <v>823</v>
      </c>
      <c r="H138" s="74">
        <v>2190</v>
      </c>
      <c r="I138" s="74">
        <v>827</v>
      </c>
      <c r="J138" s="8">
        <v>2230</v>
      </c>
      <c r="K138" s="8">
        <v>638</v>
      </c>
      <c r="L138" s="8">
        <v>2180</v>
      </c>
      <c r="M138" s="8">
        <v>668</v>
      </c>
    </row>
    <row r="139" spans="2:13" x14ac:dyDescent="0.25">
      <c r="B139" s="1">
        <v>136</v>
      </c>
      <c r="C139" s="1">
        <v>1204</v>
      </c>
      <c r="D139" s="28">
        <v>2190</v>
      </c>
      <c r="E139" s="28">
        <v>965</v>
      </c>
      <c r="F139" s="74">
        <v>2180</v>
      </c>
      <c r="G139" s="74">
        <v>827</v>
      </c>
      <c r="H139" s="74">
        <v>2180</v>
      </c>
      <c r="I139" s="74">
        <v>835</v>
      </c>
      <c r="J139" s="8">
        <v>2270</v>
      </c>
      <c r="K139" s="8">
        <v>665</v>
      </c>
      <c r="L139" s="8">
        <v>2195</v>
      </c>
      <c r="M139" s="8">
        <v>669</v>
      </c>
    </row>
    <row r="140" spans="2:13" x14ac:dyDescent="0.25">
      <c r="B140" s="1">
        <v>137</v>
      </c>
      <c r="C140" s="1">
        <v>1205</v>
      </c>
      <c r="D140" s="28">
        <v>2210</v>
      </c>
      <c r="E140" s="28">
        <v>970</v>
      </c>
      <c r="F140" s="74">
        <v>2205</v>
      </c>
      <c r="G140" s="74">
        <v>830</v>
      </c>
      <c r="H140" s="74">
        <v>2203</v>
      </c>
      <c r="I140" s="74">
        <v>828</v>
      </c>
      <c r="J140" s="8">
        <v>2210</v>
      </c>
      <c r="K140" s="8">
        <v>664</v>
      </c>
      <c r="L140" s="8">
        <v>2220</v>
      </c>
      <c r="M140" s="8">
        <v>676</v>
      </c>
    </row>
    <row r="141" spans="2:13" x14ac:dyDescent="0.25">
      <c r="B141" s="1">
        <v>138</v>
      </c>
      <c r="C141" s="1">
        <v>1206</v>
      </c>
      <c r="D141" s="28">
        <v>2195</v>
      </c>
      <c r="E141" s="28">
        <v>962</v>
      </c>
      <c r="F141" s="74">
        <v>2190</v>
      </c>
      <c r="G141" s="74">
        <v>838</v>
      </c>
      <c r="H141" s="74">
        <v>2190</v>
      </c>
      <c r="I141" s="74">
        <v>838</v>
      </c>
      <c r="J141" s="8">
        <v>2190</v>
      </c>
      <c r="K141" s="8">
        <v>674</v>
      </c>
      <c r="L141" s="8">
        <v>2185</v>
      </c>
      <c r="M141" s="8">
        <v>675</v>
      </c>
    </row>
    <row r="142" spans="2:13" x14ac:dyDescent="0.25">
      <c r="B142" s="1">
        <v>139</v>
      </c>
      <c r="C142" s="1">
        <v>1207</v>
      </c>
      <c r="D142" s="28">
        <v>2200</v>
      </c>
      <c r="E142" s="28">
        <v>965</v>
      </c>
      <c r="F142" s="74">
        <v>2183</v>
      </c>
      <c r="G142" s="74">
        <v>835</v>
      </c>
      <c r="H142" s="74">
        <v>2190</v>
      </c>
      <c r="I142" s="74">
        <v>838</v>
      </c>
      <c r="J142" s="8">
        <v>2200</v>
      </c>
      <c r="K142" s="8">
        <v>677</v>
      </c>
      <c r="L142" s="8">
        <v>2210</v>
      </c>
      <c r="M142" s="8">
        <v>675</v>
      </c>
    </row>
    <row r="143" spans="2:13" x14ac:dyDescent="0.25">
      <c r="B143" s="1">
        <v>140</v>
      </c>
      <c r="C143" s="1">
        <v>1208</v>
      </c>
      <c r="D143" s="28">
        <v>2190</v>
      </c>
      <c r="E143" s="28">
        <v>965</v>
      </c>
      <c r="F143" s="74">
        <v>2190</v>
      </c>
      <c r="G143" s="74">
        <v>837</v>
      </c>
      <c r="H143" s="74">
        <v>2190</v>
      </c>
      <c r="I143" s="74">
        <v>835</v>
      </c>
      <c r="J143" s="8">
        <v>2225</v>
      </c>
      <c r="K143" s="8">
        <v>680</v>
      </c>
      <c r="L143" s="8">
        <v>2225</v>
      </c>
      <c r="M143" s="8">
        <v>686</v>
      </c>
    </row>
    <row r="144" spans="2:13" x14ac:dyDescent="0.25">
      <c r="B144" s="1">
        <v>141</v>
      </c>
      <c r="C144" s="1">
        <v>1209</v>
      </c>
      <c r="D144" s="28">
        <v>2210</v>
      </c>
      <c r="E144" s="28">
        <v>968</v>
      </c>
      <c r="F144" s="50">
        <v>2204</v>
      </c>
      <c r="G144" s="50">
        <v>837</v>
      </c>
      <c r="H144" s="50">
        <v>2205</v>
      </c>
      <c r="I144" s="50">
        <v>837</v>
      </c>
      <c r="J144" s="8">
        <v>2215</v>
      </c>
      <c r="K144" s="8">
        <v>664</v>
      </c>
      <c r="L144" s="8">
        <v>2210</v>
      </c>
      <c r="M144" s="8">
        <v>674</v>
      </c>
    </row>
    <row r="145" spans="2:13" x14ac:dyDescent="0.25">
      <c r="B145" s="1">
        <v>142</v>
      </c>
      <c r="C145" s="1">
        <v>1210</v>
      </c>
      <c r="D145" s="75">
        <v>2193</v>
      </c>
      <c r="E145" s="75">
        <v>960</v>
      </c>
      <c r="F145" s="50">
        <v>2198</v>
      </c>
      <c r="G145" s="50">
        <v>837</v>
      </c>
      <c r="H145" s="50">
        <v>2198</v>
      </c>
      <c r="I145" s="50">
        <v>833</v>
      </c>
      <c r="J145" s="102">
        <v>2218</v>
      </c>
      <c r="K145" s="102">
        <v>667</v>
      </c>
      <c r="L145" s="1">
        <v>2207</v>
      </c>
      <c r="M145" s="1">
        <v>679</v>
      </c>
    </row>
    <row r="146" spans="2:13" x14ac:dyDescent="0.25">
      <c r="B146" s="1">
        <v>143</v>
      </c>
      <c r="C146" s="1">
        <v>1211</v>
      </c>
      <c r="D146" s="1">
        <v>2193</v>
      </c>
      <c r="E146" s="1">
        <v>965</v>
      </c>
      <c r="F146" s="50">
        <v>2188</v>
      </c>
      <c r="G146" s="50">
        <v>838</v>
      </c>
      <c r="H146" s="50">
        <v>2184</v>
      </c>
      <c r="I146" s="50">
        <v>837</v>
      </c>
      <c r="J146" s="8">
        <v>2270</v>
      </c>
      <c r="K146" s="8">
        <v>654</v>
      </c>
      <c r="L146" s="8">
        <v>2220</v>
      </c>
      <c r="M146" s="8">
        <v>678</v>
      </c>
    </row>
    <row r="147" spans="2:13" x14ac:dyDescent="0.25">
      <c r="B147" s="4">
        <v>144</v>
      </c>
      <c r="C147" s="4">
        <v>1212</v>
      </c>
      <c r="D147" s="5" t="s">
        <v>9</v>
      </c>
      <c r="E147" s="4"/>
      <c r="F147" s="4"/>
      <c r="G147" s="4"/>
      <c r="H147" s="4"/>
      <c r="I147" s="4"/>
      <c r="J147" s="4"/>
      <c r="K147" s="4"/>
      <c r="L147" s="4"/>
      <c r="M147" s="4"/>
    </row>
    <row r="148" spans="2:13" x14ac:dyDescent="0.25">
      <c r="B148" s="1">
        <v>145</v>
      </c>
      <c r="C148" s="1">
        <v>1301</v>
      </c>
      <c r="D148" s="50">
        <v>2205</v>
      </c>
      <c r="E148" s="50">
        <v>960</v>
      </c>
      <c r="F148" s="74">
        <v>2210</v>
      </c>
      <c r="G148" s="74">
        <v>820</v>
      </c>
      <c r="H148" s="74">
        <v>2210</v>
      </c>
      <c r="I148" s="74">
        <v>827</v>
      </c>
      <c r="J148" s="8">
        <v>2225</v>
      </c>
      <c r="K148" s="8">
        <v>676</v>
      </c>
      <c r="L148" s="8">
        <v>2210</v>
      </c>
      <c r="M148" s="8">
        <v>683</v>
      </c>
    </row>
    <row r="149" spans="2:13" x14ac:dyDescent="0.25">
      <c r="B149" s="1">
        <v>146</v>
      </c>
      <c r="C149" s="1">
        <v>1302</v>
      </c>
      <c r="D149" s="50">
        <v>2208</v>
      </c>
      <c r="E149" s="50">
        <v>966</v>
      </c>
      <c r="F149" s="74">
        <v>2188</v>
      </c>
      <c r="G149" s="74">
        <v>828</v>
      </c>
      <c r="H149" s="74">
        <v>2190</v>
      </c>
      <c r="I149" s="74">
        <v>832</v>
      </c>
      <c r="J149" s="8">
        <v>2210</v>
      </c>
      <c r="K149" s="8">
        <v>678</v>
      </c>
      <c r="L149" s="8">
        <v>2230</v>
      </c>
      <c r="M149" s="8">
        <v>682</v>
      </c>
    </row>
    <row r="150" spans="2:13" x14ac:dyDescent="0.25">
      <c r="B150" s="1">
        <v>147</v>
      </c>
      <c r="C150" s="1">
        <v>1303</v>
      </c>
      <c r="D150" s="1">
        <v>2200</v>
      </c>
      <c r="E150" s="1">
        <v>960</v>
      </c>
      <c r="F150" s="74">
        <v>2200</v>
      </c>
      <c r="G150" s="74">
        <v>832</v>
      </c>
      <c r="H150" s="74">
        <v>2200</v>
      </c>
      <c r="I150" s="74">
        <v>830</v>
      </c>
      <c r="J150" s="8">
        <v>2220</v>
      </c>
      <c r="K150" s="8">
        <v>664</v>
      </c>
      <c r="L150" s="8">
        <v>2215</v>
      </c>
      <c r="M150" s="8">
        <v>670</v>
      </c>
    </row>
    <row r="151" spans="2:13" x14ac:dyDescent="0.25">
      <c r="B151" s="1">
        <v>148</v>
      </c>
      <c r="C151" s="1">
        <v>1304</v>
      </c>
      <c r="D151" s="1">
        <v>2200</v>
      </c>
      <c r="E151" s="1">
        <v>960</v>
      </c>
      <c r="F151" s="74">
        <v>2185</v>
      </c>
      <c r="G151" s="74">
        <v>832</v>
      </c>
      <c r="H151" s="74">
        <v>2185</v>
      </c>
      <c r="I151" s="74">
        <v>832</v>
      </c>
      <c r="J151" s="8">
        <v>2205</v>
      </c>
      <c r="K151" s="8">
        <v>654</v>
      </c>
      <c r="L151" s="8">
        <v>2210</v>
      </c>
      <c r="M151" s="8">
        <v>675</v>
      </c>
    </row>
    <row r="152" spans="2:13" x14ac:dyDescent="0.25">
      <c r="B152" s="1">
        <v>149</v>
      </c>
      <c r="C152" s="1">
        <v>1305</v>
      </c>
      <c r="D152" s="75">
        <v>2198</v>
      </c>
      <c r="E152" s="75">
        <v>951</v>
      </c>
      <c r="F152" s="74">
        <v>2210</v>
      </c>
      <c r="G152" s="74">
        <v>823</v>
      </c>
      <c r="H152" s="74">
        <v>2210</v>
      </c>
      <c r="I152" s="74">
        <v>823</v>
      </c>
      <c r="J152" s="8">
        <v>2235</v>
      </c>
      <c r="K152" s="8">
        <v>675</v>
      </c>
      <c r="L152" s="8">
        <v>2235</v>
      </c>
      <c r="M152" s="8">
        <v>683</v>
      </c>
    </row>
    <row r="153" spans="2:13" x14ac:dyDescent="0.25">
      <c r="B153" s="1">
        <v>150</v>
      </c>
      <c r="C153" s="1">
        <v>1306</v>
      </c>
      <c r="D153" s="1">
        <v>2210</v>
      </c>
      <c r="E153" s="1">
        <v>955</v>
      </c>
      <c r="F153" s="74">
        <v>2202</v>
      </c>
      <c r="G153" s="74">
        <v>833</v>
      </c>
      <c r="H153" s="74">
        <v>2202</v>
      </c>
      <c r="I153" s="74">
        <v>837</v>
      </c>
      <c r="J153" s="8">
        <v>2210</v>
      </c>
      <c r="K153" s="8">
        <v>682</v>
      </c>
      <c r="L153" s="8">
        <v>2225</v>
      </c>
      <c r="M153" s="8">
        <v>678</v>
      </c>
    </row>
    <row r="154" spans="2:13" x14ac:dyDescent="0.25">
      <c r="B154" s="1">
        <v>151</v>
      </c>
      <c r="C154" s="1">
        <v>1307</v>
      </c>
      <c r="D154" s="1">
        <v>2190</v>
      </c>
      <c r="E154" s="1">
        <v>960</v>
      </c>
      <c r="F154" s="74">
        <v>2188</v>
      </c>
      <c r="G154" s="74">
        <v>837</v>
      </c>
      <c r="H154" s="74">
        <v>2188</v>
      </c>
      <c r="I154" s="74">
        <v>833</v>
      </c>
      <c r="J154" s="8">
        <v>2215</v>
      </c>
      <c r="K154" s="8">
        <v>675</v>
      </c>
      <c r="L154" s="8">
        <v>2195</v>
      </c>
      <c r="M154" s="8">
        <v>672</v>
      </c>
    </row>
    <row r="155" spans="2:13" x14ac:dyDescent="0.25">
      <c r="B155" s="1">
        <v>152</v>
      </c>
      <c r="C155" s="1">
        <v>1308</v>
      </c>
      <c r="D155" s="1">
        <v>2205</v>
      </c>
      <c r="E155" s="1">
        <v>965</v>
      </c>
      <c r="F155" s="74">
        <v>2213</v>
      </c>
      <c r="G155" s="74">
        <v>840</v>
      </c>
      <c r="H155" s="74">
        <v>2213</v>
      </c>
      <c r="I155" s="74">
        <v>840</v>
      </c>
      <c r="J155" s="8">
        <v>2225</v>
      </c>
      <c r="K155" s="8">
        <v>680</v>
      </c>
      <c r="L155" s="8">
        <v>2240</v>
      </c>
      <c r="M155" s="8">
        <v>686</v>
      </c>
    </row>
    <row r="156" spans="2:13" x14ac:dyDescent="0.25">
      <c r="B156" s="1">
        <v>153</v>
      </c>
      <c r="C156" s="1">
        <v>1309</v>
      </c>
      <c r="D156" s="1">
        <v>2210</v>
      </c>
      <c r="E156" s="1">
        <v>965</v>
      </c>
      <c r="F156" s="50">
        <v>2218</v>
      </c>
      <c r="G156" s="50">
        <v>837</v>
      </c>
      <c r="H156" s="1">
        <v>2218</v>
      </c>
      <c r="I156" s="1">
        <v>840</v>
      </c>
      <c r="J156" s="8">
        <v>2220</v>
      </c>
      <c r="K156" s="8">
        <v>683</v>
      </c>
      <c r="L156" s="8">
        <v>2220</v>
      </c>
      <c r="M156" s="8">
        <v>679</v>
      </c>
    </row>
    <row r="157" spans="2:13" x14ac:dyDescent="0.25">
      <c r="B157" s="1">
        <v>154</v>
      </c>
      <c r="C157" s="1">
        <v>1310</v>
      </c>
      <c r="D157" s="1">
        <v>2210</v>
      </c>
      <c r="E157" s="1">
        <v>965</v>
      </c>
      <c r="F157" s="50">
        <v>2218</v>
      </c>
      <c r="G157" s="50">
        <v>837</v>
      </c>
      <c r="H157" s="50">
        <v>2218</v>
      </c>
      <c r="I157" s="50">
        <v>833</v>
      </c>
      <c r="J157" s="8">
        <v>2240</v>
      </c>
      <c r="K157" s="8">
        <v>670</v>
      </c>
      <c r="L157" s="8">
        <v>2200</v>
      </c>
      <c r="M157" s="8">
        <v>682</v>
      </c>
    </row>
    <row r="158" spans="2:13" x14ac:dyDescent="0.25">
      <c r="B158" s="1">
        <v>155</v>
      </c>
      <c r="C158" s="1">
        <v>1311</v>
      </c>
      <c r="D158" s="50">
        <v>2210</v>
      </c>
      <c r="E158" s="50">
        <v>967</v>
      </c>
      <c r="F158" s="50">
        <v>2208</v>
      </c>
      <c r="G158" s="50">
        <v>838</v>
      </c>
      <c r="H158" s="50">
        <v>2215</v>
      </c>
      <c r="I158" s="50">
        <v>840</v>
      </c>
      <c r="J158" s="8">
        <v>2235</v>
      </c>
      <c r="K158" s="8">
        <v>650</v>
      </c>
      <c r="L158" s="8">
        <v>2240</v>
      </c>
      <c r="M158" s="8">
        <v>683</v>
      </c>
    </row>
    <row r="159" spans="2:13" x14ac:dyDescent="0.25">
      <c r="B159" s="1">
        <v>156</v>
      </c>
      <c r="C159" s="1">
        <v>1312</v>
      </c>
      <c r="D159" s="50">
        <v>2208</v>
      </c>
      <c r="E159" s="50">
        <v>967</v>
      </c>
      <c r="F159" s="50">
        <v>2194</v>
      </c>
      <c r="G159" s="50">
        <v>833</v>
      </c>
      <c r="H159" s="50">
        <v>2194</v>
      </c>
      <c r="I159" s="50">
        <v>832</v>
      </c>
      <c r="J159" s="8">
        <v>2245</v>
      </c>
      <c r="K159" s="8">
        <v>664</v>
      </c>
      <c r="L159" s="8">
        <v>2235</v>
      </c>
      <c r="M159" s="8">
        <v>683</v>
      </c>
    </row>
    <row r="160" spans="2:13" x14ac:dyDescent="0.25">
      <c r="B160" s="1">
        <v>157</v>
      </c>
      <c r="C160" s="1">
        <v>1401</v>
      </c>
      <c r="D160" s="71">
        <v>2240</v>
      </c>
      <c r="E160" s="71">
        <v>962</v>
      </c>
      <c r="F160" s="71">
        <v>2226</v>
      </c>
      <c r="G160" s="71">
        <v>838</v>
      </c>
      <c r="H160" s="1">
        <v>2230</v>
      </c>
      <c r="I160" s="1">
        <v>837</v>
      </c>
      <c r="J160" s="48">
        <v>2270</v>
      </c>
      <c r="K160" s="48">
        <v>687</v>
      </c>
      <c r="L160" s="48">
        <v>2240</v>
      </c>
      <c r="M160" s="48">
        <v>685</v>
      </c>
    </row>
    <row r="161" spans="2:13" x14ac:dyDescent="0.25">
      <c r="B161" s="1">
        <v>158</v>
      </c>
      <c r="C161" s="1">
        <v>1402</v>
      </c>
      <c r="D161" s="71">
        <v>2235</v>
      </c>
      <c r="E161" s="71">
        <v>968</v>
      </c>
      <c r="F161" s="71">
        <v>2223</v>
      </c>
      <c r="G161" s="71">
        <v>837</v>
      </c>
      <c r="H161" s="1">
        <v>2230</v>
      </c>
      <c r="I161" s="1">
        <v>835</v>
      </c>
      <c r="J161" s="48">
        <v>2235</v>
      </c>
      <c r="K161" s="48">
        <v>685</v>
      </c>
      <c r="L161" s="48">
        <v>2255</v>
      </c>
      <c r="M161" s="48">
        <v>684</v>
      </c>
    </row>
    <row r="162" spans="2:13" x14ac:dyDescent="0.25">
      <c r="B162" s="1">
        <v>159</v>
      </c>
      <c r="C162" s="1">
        <v>1403</v>
      </c>
      <c r="D162" s="71">
        <v>2253</v>
      </c>
      <c r="E162" s="71">
        <v>962</v>
      </c>
      <c r="F162" s="71">
        <v>2260</v>
      </c>
      <c r="G162" s="71">
        <v>820</v>
      </c>
      <c r="H162" s="1">
        <v>2255</v>
      </c>
      <c r="I162" s="1">
        <v>837</v>
      </c>
      <c r="J162" s="48">
        <v>2270</v>
      </c>
      <c r="K162" s="48">
        <v>652</v>
      </c>
      <c r="L162" s="48">
        <v>2245</v>
      </c>
      <c r="M162" s="48">
        <v>677</v>
      </c>
    </row>
    <row r="163" spans="2:13" x14ac:dyDescent="0.25">
      <c r="B163" s="1">
        <v>160</v>
      </c>
      <c r="C163" s="1">
        <v>1404</v>
      </c>
      <c r="D163" s="71">
        <v>2253</v>
      </c>
      <c r="E163" s="71">
        <v>965</v>
      </c>
      <c r="F163" s="71">
        <v>2250</v>
      </c>
      <c r="G163" s="71">
        <v>838</v>
      </c>
      <c r="H163" s="1">
        <v>2252</v>
      </c>
      <c r="I163" s="1">
        <v>833</v>
      </c>
      <c r="J163" s="48">
        <v>2270</v>
      </c>
      <c r="K163" s="48">
        <v>661</v>
      </c>
      <c r="L163" s="48">
        <v>2280</v>
      </c>
      <c r="M163" s="48">
        <v>668</v>
      </c>
    </row>
    <row r="164" spans="2:13" x14ac:dyDescent="0.25">
      <c r="B164" s="1">
        <v>161</v>
      </c>
      <c r="C164" s="1">
        <v>1405</v>
      </c>
      <c r="D164" s="71">
        <v>2242</v>
      </c>
      <c r="E164" s="71">
        <v>950</v>
      </c>
      <c r="F164" s="71">
        <v>2240</v>
      </c>
      <c r="G164" s="71">
        <v>823</v>
      </c>
      <c r="H164" s="1">
        <v>2240</v>
      </c>
      <c r="I164" s="1">
        <v>830</v>
      </c>
      <c r="J164" s="48">
        <v>2250</v>
      </c>
      <c r="K164" s="48">
        <v>682</v>
      </c>
      <c r="L164" s="48">
        <v>2235</v>
      </c>
      <c r="M164" s="48">
        <v>689</v>
      </c>
    </row>
    <row r="165" spans="2:13" x14ac:dyDescent="0.25">
      <c r="B165" s="1">
        <v>162</v>
      </c>
      <c r="C165" s="1">
        <v>1406</v>
      </c>
      <c r="D165" s="50">
        <v>2222</v>
      </c>
      <c r="E165" s="50">
        <v>967</v>
      </c>
      <c r="F165" s="50">
        <v>2227</v>
      </c>
      <c r="G165" s="50">
        <v>840</v>
      </c>
      <c r="H165" s="50">
        <v>2227</v>
      </c>
      <c r="I165" s="50">
        <v>838</v>
      </c>
      <c r="J165" s="23">
        <v>2240</v>
      </c>
      <c r="K165" s="23">
        <v>670</v>
      </c>
      <c r="L165" s="23">
        <v>2240</v>
      </c>
      <c r="M165" s="23">
        <v>660</v>
      </c>
    </row>
    <row r="166" spans="2:13" x14ac:dyDescent="0.25">
      <c r="B166" s="1">
        <v>163</v>
      </c>
      <c r="C166" s="1">
        <v>1407</v>
      </c>
      <c r="D166" s="50">
        <v>2218</v>
      </c>
      <c r="E166" s="50">
        <v>967</v>
      </c>
      <c r="F166" s="50">
        <v>2214</v>
      </c>
      <c r="G166" s="50">
        <v>837</v>
      </c>
      <c r="H166" s="50">
        <v>2215</v>
      </c>
      <c r="I166" s="50">
        <v>838</v>
      </c>
      <c r="J166" s="23">
        <v>2243</v>
      </c>
      <c r="K166" s="23">
        <v>695</v>
      </c>
      <c r="L166" s="23">
        <v>2240</v>
      </c>
      <c r="M166" s="23">
        <v>686</v>
      </c>
    </row>
    <row r="167" spans="2:13" x14ac:dyDescent="0.25">
      <c r="B167" s="1">
        <v>164</v>
      </c>
      <c r="C167" s="1">
        <v>1408</v>
      </c>
      <c r="D167" s="50">
        <v>2224</v>
      </c>
      <c r="E167" s="50">
        <v>964</v>
      </c>
      <c r="F167" s="50">
        <v>2205</v>
      </c>
      <c r="G167" s="50">
        <v>838</v>
      </c>
      <c r="H167" s="50">
        <v>2210</v>
      </c>
      <c r="I167" s="50">
        <v>838</v>
      </c>
      <c r="J167" s="23">
        <v>2228</v>
      </c>
      <c r="K167" s="23">
        <v>681</v>
      </c>
      <c r="L167" s="23">
        <v>2225</v>
      </c>
      <c r="M167" s="23">
        <v>693</v>
      </c>
    </row>
    <row r="168" spans="2:13" x14ac:dyDescent="0.25">
      <c r="B168" s="1">
        <v>165</v>
      </c>
      <c r="C168" s="1">
        <v>1409</v>
      </c>
      <c r="D168" s="50">
        <v>2222</v>
      </c>
      <c r="E168" s="50">
        <v>968</v>
      </c>
      <c r="F168" s="50">
        <v>2222</v>
      </c>
      <c r="G168" s="50">
        <v>838</v>
      </c>
      <c r="H168" s="50">
        <v>2224</v>
      </c>
      <c r="I168" s="50">
        <v>837</v>
      </c>
      <c r="J168" s="23">
        <v>2230</v>
      </c>
      <c r="K168" s="23">
        <v>653</v>
      </c>
      <c r="L168" s="23">
        <v>2220</v>
      </c>
      <c r="M168" s="23">
        <v>682</v>
      </c>
    </row>
    <row r="169" spans="2:13" x14ac:dyDescent="0.25">
      <c r="B169" s="1">
        <v>166</v>
      </c>
      <c r="C169" s="1">
        <v>1410</v>
      </c>
      <c r="D169" s="50">
        <v>2224</v>
      </c>
      <c r="E169" s="50">
        <v>960</v>
      </c>
      <c r="F169" s="50">
        <v>2190</v>
      </c>
      <c r="G169" s="50">
        <v>835</v>
      </c>
      <c r="H169" s="50">
        <v>2190</v>
      </c>
      <c r="I169" s="50">
        <v>837</v>
      </c>
      <c r="J169" s="23">
        <v>2215</v>
      </c>
      <c r="K169" s="23">
        <v>664</v>
      </c>
      <c r="L169" s="23">
        <v>2228</v>
      </c>
      <c r="M169" s="23">
        <v>691</v>
      </c>
    </row>
    <row r="170" spans="2:13" x14ac:dyDescent="0.25">
      <c r="B170" s="1">
        <v>167</v>
      </c>
      <c r="C170" s="1">
        <v>1411</v>
      </c>
      <c r="D170" s="50">
        <v>2205</v>
      </c>
      <c r="E170" s="50">
        <v>967</v>
      </c>
      <c r="F170" s="50">
        <v>2208</v>
      </c>
      <c r="G170" s="50">
        <v>838</v>
      </c>
      <c r="H170" s="50">
        <v>2207</v>
      </c>
      <c r="I170" s="50">
        <v>837</v>
      </c>
      <c r="J170" s="23">
        <v>2203</v>
      </c>
      <c r="K170" s="23">
        <v>680</v>
      </c>
      <c r="L170" s="23">
        <v>2210</v>
      </c>
      <c r="M170" s="23">
        <v>680</v>
      </c>
    </row>
    <row r="171" spans="2:13" x14ac:dyDescent="0.25">
      <c r="B171" s="1">
        <v>168</v>
      </c>
      <c r="C171" s="1">
        <v>1412</v>
      </c>
      <c r="D171" s="50">
        <v>2205</v>
      </c>
      <c r="E171" s="50">
        <v>968</v>
      </c>
      <c r="F171" s="50">
        <v>2228</v>
      </c>
      <c r="G171" s="50">
        <v>838</v>
      </c>
      <c r="H171" s="50">
        <v>2234</v>
      </c>
      <c r="I171" s="50">
        <v>830</v>
      </c>
      <c r="J171" s="23">
        <v>2255</v>
      </c>
      <c r="K171" s="23">
        <v>687</v>
      </c>
      <c r="L171" s="23">
        <v>2250</v>
      </c>
      <c r="M171" s="23">
        <v>687</v>
      </c>
    </row>
    <row r="172" spans="2:13" x14ac:dyDescent="0.25">
      <c r="B172" s="1">
        <v>169</v>
      </c>
      <c r="C172" s="1">
        <v>1501</v>
      </c>
      <c r="D172" s="50">
        <v>2195</v>
      </c>
      <c r="E172" s="50">
        <v>957</v>
      </c>
      <c r="F172" s="50">
        <v>2185</v>
      </c>
      <c r="G172" s="50">
        <v>843</v>
      </c>
      <c r="H172" s="50">
        <v>2186</v>
      </c>
      <c r="I172" s="50">
        <v>835</v>
      </c>
      <c r="J172" s="23">
        <v>2230</v>
      </c>
      <c r="K172" s="23">
        <v>676</v>
      </c>
      <c r="L172" s="23">
        <v>2205</v>
      </c>
      <c r="M172" s="23">
        <v>676</v>
      </c>
    </row>
    <row r="173" spans="2:13" x14ac:dyDescent="0.25">
      <c r="B173" s="1">
        <v>170</v>
      </c>
      <c r="C173" s="1">
        <v>1502</v>
      </c>
      <c r="D173" s="50">
        <v>2194</v>
      </c>
      <c r="E173" s="50">
        <v>958</v>
      </c>
      <c r="F173" s="50">
        <v>2190</v>
      </c>
      <c r="G173" s="50">
        <v>837</v>
      </c>
      <c r="H173" s="50">
        <v>2200</v>
      </c>
      <c r="I173" s="50">
        <v>837</v>
      </c>
      <c r="J173" s="23">
        <v>2205</v>
      </c>
      <c r="K173" s="23">
        <v>680</v>
      </c>
      <c r="L173" s="23">
        <v>2225</v>
      </c>
      <c r="M173" s="23">
        <v>684</v>
      </c>
    </row>
    <row r="174" spans="2:13" x14ac:dyDescent="0.25">
      <c r="B174" s="1">
        <v>171</v>
      </c>
      <c r="C174" s="1">
        <v>1503</v>
      </c>
      <c r="D174" s="50">
        <v>2183</v>
      </c>
      <c r="E174" s="50">
        <v>958</v>
      </c>
      <c r="F174" s="50">
        <v>2200</v>
      </c>
      <c r="G174" s="50">
        <v>835</v>
      </c>
      <c r="H174" s="50">
        <v>2204</v>
      </c>
      <c r="I174" s="50">
        <v>833</v>
      </c>
      <c r="J174" s="23">
        <v>2215</v>
      </c>
      <c r="K174" s="23">
        <v>662</v>
      </c>
      <c r="L174" s="23">
        <v>2225</v>
      </c>
      <c r="M174" s="23">
        <v>674</v>
      </c>
    </row>
    <row r="175" spans="2:13" x14ac:dyDescent="0.25">
      <c r="B175" s="1">
        <v>172</v>
      </c>
      <c r="C175" s="1">
        <v>1504</v>
      </c>
      <c r="D175" s="50">
        <v>2184</v>
      </c>
      <c r="E175" s="50">
        <v>957</v>
      </c>
      <c r="F175" s="50">
        <v>2190</v>
      </c>
      <c r="G175" s="50">
        <v>828</v>
      </c>
      <c r="H175" s="50">
        <v>2190</v>
      </c>
      <c r="I175" s="50">
        <v>827</v>
      </c>
      <c r="J175" s="23">
        <v>2220</v>
      </c>
      <c r="K175" s="23">
        <v>659</v>
      </c>
      <c r="L175" s="23">
        <v>2203</v>
      </c>
      <c r="M175" s="23">
        <v>675</v>
      </c>
    </row>
    <row r="176" spans="2:13" x14ac:dyDescent="0.25">
      <c r="B176" s="1">
        <v>173</v>
      </c>
      <c r="C176" s="1">
        <v>1505</v>
      </c>
      <c r="D176" s="1">
        <v>2183</v>
      </c>
      <c r="E176" s="1">
        <v>950</v>
      </c>
      <c r="F176" s="50">
        <v>2185</v>
      </c>
      <c r="G176" s="50">
        <v>837</v>
      </c>
      <c r="H176" s="50">
        <v>2183</v>
      </c>
      <c r="I176" s="50">
        <v>833</v>
      </c>
      <c r="J176" s="23">
        <v>2190</v>
      </c>
      <c r="K176" s="23">
        <v>680</v>
      </c>
      <c r="L176" s="23">
        <v>2200</v>
      </c>
      <c r="M176" s="23">
        <v>685</v>
      </c>
    </row>
    <row r="177" spans="2:13" x14ac:dyDescent="0.25">
      <c r="B177" s="1">
        <v>174</v>
      </c>
      <c r="C177" s="1">
        <v>1506</v>
      </c>
      <c r="D177" s="50">
        <v>2198</v>
      </c>
      <c r="E177" s="50">
        <v>964</v>
      </c>
      <c r="F177" s="71">
        <v>2197</v>
      </c>
      <c r="G177" s="71">
        <v>830</v>
      </c>
      <c r="H177" s="50">
        <v>2195</v>
      </c>
      <c r="I177" s="50">
        <v>828</v>
      </c>
      <c r="J177" s="23">
        <v>2220</v>
      </c>
      <c r="K177" s="23">
        <v>680</v>
      </c>
      <c r="L177" s="23">
        <v>2200</v>
      </c>
      <c r="M177" s="23">
        <v>684</v>
      </c>
    </row>
    <row r="178" spans="2:13" x14ac:dyDescent="0.25">
      <c r="B178" s="1">
        <v>175</v>
      </c>
      <c r="C178" s="1">
        <v>1507</v>
      </c>
      <c r="D178" s="50">
        <v>2193</v>
      </c>
      <c r="E178" s="50">
        <v>958</v>
      </c>
      <c r="F178" s="50">
        <v>2200</v>
      </c>
      <c r="G178" s="50">
        <v>838</v>
      </c>
      <c r="H178" s="50">
        <v>2200</v>
      </c>
      <c r="I178" s="50">
        <v>835</v>
      </c>
      <c r="J178" s="23">
        <v>2205</v>
      </c>
      <c r="K178" s="23">
        <v>680</v>
      </c>
      <c r="L178" s="23">
        <v>2210</v>
      </c>
      <c r="M178" s="23">
        <v>688</v>
      </c>
    </row>
    <row r="179" spans="2:13" x14ac:dyDescent="0.25">
      <c r="B179" s="1">
        <v>176</v>
      </c>
      <c r="C179" s="1">
        <v>1508</v>
      </c>
      <c r="D179" s="1">
        <v>2190</v>
      </c>
      <c r="E179" s="1">
        <v>988</v>
      </c>
      <c r="F179" s="50">
        <v>2195</v>
      </c>
      <c r="G179" s="50">
        <v>838</v>
      </c>
      <c r="H179" s="50">
        <v>2195</v>
      </c>
      <c r="I179" s="50">
        <v>840</v>
      </c>
      <c r="J179" s="23">
        <v>2200</v>
      </c>
      <c r="K179" s="23">
        <v>681</v>
      </c>
      <c r="L179" s="23">
        <v>2210</v>
      </c>
      <c r="M179" s="23">
        <v>690</v>
      </c>
    </row>
    <row r="180" spans="2:13" x14ac:dyDescent="0.25">
      <c r="B180" s="1">
        <v>177</v>
      </c>
      <c r="C180" s="1">
        <v>1509</v>
      </c>
      <c r="D180" s="50">
        <v>2204</v>
      </c>
      <c r="E180" s="50">
        <v>963</v>
      </c>
      <c r="F180" s="50">
        <v>2200</v>
      </c>
      <c r="G180" s="50">
        <v>842</v>
      </c>
      <c r="H180" s="1">
        <v>2203</v>
      </c>
      <c r="I180" s="1">
        <v>835</v>
      </c>
      <c r="J180" s="23">
        <v>2218</v>
      </c>
      <c r="K180" s="23">
        <v>665</v>
      </c>
      <c r="L180" s="23">
        <v>2214</v>
      </c>
      <c r="M180" s="23">
        <v>681</v>
      </c>
    </row>
    <row r="181" spans="2:13" x14ac:dyDescent="0.25">
      <c r="B181" s="1">
        <v>178</v>
      </c>
      <c r="C181" s="1">
        <v>1510</v>
      </c>
      <c r="D181" s="50">
        <v>2197</v>
      </c>
      <c r="E181" s="50">
        <v>964</v>
      </c>
      <c r="F181" s="50">
        <v>2208</v>
      </c>
      <c r="G181" s="50">
        <v>837</v>
      </c>
      <c r="H181" s="50">
        <v>2205</v>
      </c>
      <c r="I181" s="50">
        <v>838</v>
      </c>
      <c r="J181" s="23">
        <v>2220</v>
      </c>
      <c r="K181" s="23">
        <v>655</v>
      </c>
      <c r="L181" s="23">
        <v>2205</v>
      </c>
      <c r="M181" s="23">
        <v>690</v>
      </c>
    </row>
    <row r="182" spans="2:13" x14ac:dyDescent="0.25">
      <c r="B182" s="1">
        <v>179</v>
      </c>
      <c r="C182" s="1">
        <v>1511</v>
      </c>
      <c r="D182" s="50">
        <v>2184</v>
      </c>
      <c r="E182" s="50">
        <v>965</v>
      </c>
      <c r="F182" s="50">
        <v>2193</v>
      </c>
      <c r="G182" s="50">
        <v>840</v>
      </c>
      <c r="H182" s="50">
        <v>2185</v>
      </c>
      <c r="I182" s="50">
        <v>835</v>
      </c>
      <c r="J182" s="23">
        <v>2195</v>
      </c>
      <c r="K182" s="23">
        <v>693</v>
      </c>
      <c r="L182" s="23">
        <v>2205</v>
      </c>
      <c r="M182" s="23">
        <v>683</v>
      </c>
    </row>
    <row r="183" spans="2:13" x14ac:dyDescent="0.25">
      <c r="B183" s="1">
        <v>180</v>
      </c>
      <c r="C183" s="1">
        <v>1512</v>
      </c>
      <c r="D183" s="50">
        <v>2190</v>
      </c>
      <c r="E183" s="50">
        <v>958</v>
      </c>
      <c r="F183" s="50">
        <v>2205</v>
      </c>
      <c r="G183" s="50">
        <v>837</v>
      </c>
      <c r="H183" s="50">
        <v>2200</v>
      </c>
      <c r="I183" s="50">
        <v>837</v>
      </c>
      <c r="J183" s="23">
        <v>2250</v>
      </c>
      <c r="K183" s="23">
        <v>688</v>
      </c>
      <c r="L183" s="23">
        <v>2212</v>
      </c>
      <c r="M183" s="23">
        <v>675</v>
      </c>
    </row>
    <row r="184" spans="2:13" x14ac:dyDescent="0.25">
      <c r="B184" s="10">
        <v>181</v>
      </c>
      <c r="C184" s="10">
        <v>1601</v>
      </c>
      <c r="D184" s="50">
        <v>2185</v>
      </c>
      <c r="E184" s="50">
        <v>982</v>
      </c>
      <c r="F184" s="50">
        <v>2184</v>
      </c>
      <c r="G184" s="50">
        <v>835</v>
      </c>
      <c r="H184" s="50">
        <v>2193</v>
      </c>
      <c r="I184" s="50">
        <v>835</v>
      </c>
      <c r="J184" s="23">
        <v>2240</v>
      </c>
      <c r="K184" s="23">
        <v>680</v>
      </c>
      <c r="L184" s="23">
        <v>2190</v>
      </c>
      <c r="M184" s="23">
        <v>685</v>
      </c>
    </row>
    <row r="185" spans="2:13" x14ac:dyDescent="0.25">
      <c r="B185" s="10">
        <v>182</v>
      </c>
      <c r="C185" s="10">
        <v>1602</v>
      </c>
      <c r="D185" s="50">
        <v>2183</v>
      </c>
      <c r="E185" s="50">
        <v>952</v>
      </c>
      <c r="F185" s="50">
        <v>2194</v>
      </c>
      <c r="G185" s="50">
        <v>833</v>
      </c>
      <c r="H185" s="50">
        <v>2194</v>
      </c>
      <c r="I185" s="50">
        <v>828</v>
      </c>
      <c r="J185" s="23">
        <v>2208</v>
      </c>
      <c r="K185" s="23">
        <v>680</v>
      </c>
      <c r="L185" s="23">
        <v>2220</v>
      </c>
      <c r="M185" s="23">
        <v>675</v>
      </c>
    </row>
    <row r="186" spans="2:13" x14ac:dyDescent="0.25">
      <c r="B186" s="10">
        <v>183</v>
      </c>
      <c r="C186" s="10">
        <v>1603</v>
      </c>
      <c r="D186" s="50">
        <v>2193</v>
      </c>
      <c r="E186" s="50">
        <v>968</v>
      </c>
      <c r="F186" s="50">
        <v>2204</v>
      </c>
      <c r="G186" s="50">
        <v>830</v>
      </c>
      <c r="H186" s="50">
        <v>2204</v>
      </c>
      <c r="I186" s="50">
        <v>833</v>
      </c>
      <c r="J186" s="23">
        <v>2220</v>
      </c>
      <c r="K186" s="23">
        <v>667</v>
      </c>
      <c r="L186" s="23">
        <v>2227</v>
      </c>
      <c r="M186" s="23">
        <v>684</v>
      </c>
    </row>
    <row r="187" spans="2:13" x14ac:dyDescent="0.25">
      <c r="B187" s="10">
        <v>184</v>
      </c>
      <c r="C187" s="10">
        <v>1604</v>
      </c>
      <c r="D187" s="50">
        <v>2180</v>
      </c>
      <c r="E187" s="50">
        <v>962</v>
      </c>
      <c r="F187" s="50">
        <v>2178</v>
      </c>
      <c r="G187" s="50">
        <v>822</v>
      </c>
      <c r="H187" s="50">
        <v>2178</v>
      </c>
      <c r="I187" s="50">
        <v>822</v>
      </c>
      <c r="J187" s="23">
        <v>2250</v>
      </c>
      <c r="K187" s="23">
        <v>633</v>
      </c>
      <c r="L187" s="23">
        <v>2186</v>
      </c>
      <c r="M187" s="23">
        <v>668</v>
      </c>
    </row>
    <row r="188" spans="2:13" x14ac:dyDescent="0.25">
      <c r="B188" s="10">
        <v>185</v>
      </c>
      <c r="C188" s="10">
        <v>1605</v>
      </c>
      <c r="D188" s="50">
        <v>2192</v>
      </c>
      <c r="E188" s="50">
        <v>958</v>
      </c>
      <c r="F188" s="50">
        <v>2198</v>
      </c>
      <c r="G188" s="50">
        <v>837</v>
      </c>
      <c r="H188" s="50">
        <v>2198</v>
      </c>
      <c r="I188" s="50">
        <v>838</v>
      </c>
      <c r="J188" s="23">
        <v>2210</v>
      </c>
      <c r="K188" s="23">
        <v>673</v>
      </c>
      <c r="L188" s="23">
        <v>2195</v>
      </c>
      <c r="M188" s="23">
        <v>683</v>
      </c>
    </row>
    <row r="189" spans="2:13" x14ac:dyDescent="0.25">
      <c r="B189" s="10">
        <v>186</v>
      </c>
      <c r="C189" s="10">
        <v>1606</v>
      </c>
      <c r="D189" s="50">
        <v>2198</v>
      </c>
      <c r="E189" s="50">
        <v>963</v>
      </c>
      <c r="F189" s="71">
        <v>2205</v>
      </c>
      <c r="G189" s="71">
        <v>825</v>
      </c>
      <c r="H189" s="50">
        <v>2204</v>
      </c>
      <c r="I189" s="50">
        <v>828</v>
      </c>
      <c r="J189" s="23">
        <v>2215</v>
      </c>
      <c r="K189" s="23">
        <v>680</v>
      </c>
      <c r="L189" s="23">
        <v>2224</v>
      </c>
      <c r="M189" s="23">
        <v>683</v>
      </c>
    </row>
    <row r="190" spans="2:13" x14ac:dyDescent="0.25">
      <c r="B190" s="10">
        <v>187</v>
      </c>
      <c r="C190" s="10">
        <v>1607</v>
      </c>
      <c r="D190" s="50">
        <v>2190</v>
      </c>
      <c r="E190" s="50">
        <v>968</v>
      </c>
      <c r="F190" s="50">
        <v>2200</v>
      </c>
      <c r="G190" s="50">
        <v>840</v>
      </c>
      <c r="H190" s="50">
        <v>2203</v>
      </c>
      <c r="I190" s="50">
        <v>840</v>
      </c>
      <c r="J190" s="23">
        <v>2205</v>
      </c>
      <c r="K190" s="23">
        <v>685</v>
      </c>
      <c r="L190" s="23">
        <v>2215</v>
      </c>
      <c r="M190" s="23">
        <v>684</v>
      </c>
    </row>
    <row r="191" spans="2:13" x14ac:dyDescent="0.25">
      <c r="B191" s="10">
        <v>188</v>
      </c>
      <c r="C191" s="10">
        <v>1608</v>
      </c>
      <c r="D191" s="50">
        <v>2218</v>
      </c>
      <c r="E191" s="50">
        <v>954</v>
      </c>
      <c r="F191" s="50">
        <v>2213</v>
      </c>
      <c r="G191" s="50">
        <v>833</v>
      </c>
      <c r="H191" s="50">
        <v>2215</v>
      </c>
      <c r="I191" s="50">
        <v>835</v>
      </c>
      <c r="J191" s="23">
        <v>2225</v>
      </c>
      <c r="K191" s="23">
        <v>684</v>
      </c>
      <c r="L191" s="23">
        <v>2225</v>
      </c>
      <c r="M191" s="23">
        <v>681</v>
      </c>
    </row>
    <row r="192" spans="2:13" x14ac:dyDescent="0.25">
      <c r="B192" s="10">
        <v>189</v>
      </c>
      <c r="C192" s="10">
        <v>1609</v>
      </c>
      <c r="D192" s="50">
        <v>2213</v>
      </c>
      <c r="E192" s="50">
        <v>965</v>
      </c>
      <c r="F192" s="50">
        <v>2210</v>
      </c>
      <c r="G192" s="50">
        <v>838</v>
      </c>
      <c r="H192" s="102">
        <v>2212</v>
      </c>
      <c r="I192" s="102">
        <v>830</v>
      </c>
      <c r="J192" s="23">
        <v>2260</v>
      </c>
      <c r="K192" s="23">
        <v>663</v>
      </c>
      <c r="L192" s="23">
        <v>2280</v>
      </c>
      <c r="M192" s="23">
        <v>688</v>
      </c>
    </row>
    <row r="193" spans="2:13" x14ac:dyDescent="0.25">
      <c r="B193" s="10">
        <v>190</v>
      </c>
      <c r="C193" s="10">
        <v>1610</v>
      </c>
      <c r="D193" s="50">
        <v>2210</v>
      </c>
      <c r="E193" s="50">
        <v>968</v>
      </c>
      <c r="F193" s="50">
        <v>2215</v>
      </c>
      <c r="G193" s="50">
        <v>837</v>
      </c>
      <c r="H193" s="50">
        <v>2215</v>
      </c>
      <c r="I193" s="50">
        <v>838</v>
      </c>
      <c r="J193" s="23">
        <v>2225</v>
      </c>
      <c r="K193" s="23">
        <v>660</v>
      </c>
      <c r="L193" s="23">
        <v>2210</v>
      </c>
      <c r="M193" s="23">
        <v>692</v>
      </c>
    </row>
    <row r="194" spans="2:13" x14ac:dyDescent="0.25">
      <c r="B194" s="10">
        <v>191</v>
      </c>
      <c r="C194" s="10">
        <v>1611</v>
      </c>
      <c r="D194" s="50">
        <v>2195</v>
      </c>
      <c r="E194" s="50">
        <v>968</v>
      </c>
      <c r="F194" s="50">
        <v>2212</v>
      </c>
      <c r="G194" s="50">
        <v>834</v>
      </c>
      <c r="H194" s="50">
        <v>2213</v>
      </c>
      <c r="I194" s="50">
        <v>835</v>
      </c>
      <c r="J194" s="23">
        <v>2225</v>
      </c>
      <c r="K194" s="23">
        <v>690</v>
      </c>
      <c r="L194" s="23">
        <v>2226</v>
      </c>
      <c r="M194" s="23">
        <v>690</v>
      </c>
    </row>
    <row r="195" spans="2:13" x14ac:dyDescent="0.25">
      <c r="B195" s="10">
        <v>192</v>
      </c>
      <c r="C195" s="10">
        <v>1612</v>
      </c>
      <c r="D195" s="50">
        <v>2204</v>
      </c>
      <c r="E195" s="50">
        <v>967</v>
      </c>
      <c r="F195" s="50">
        <v>2204</v>
      </c>
      <c r="G195" s="50">
        <v>835</v>
      </c>
      <c r="H195" s="50">
        <v>2204</v>
      </c>
      <c r="I195" s="50">
        <v>838</v>
      </c>
      <c r="J195" s="23">
        <v>2220</v>
      </c>
      <c r="K195" s="23">
        <v>686</v>
      </c>
      <c r="L195" s="23">
        <v>2220</v>
      </c>
      <c r="M195" s="23">
        <v>690</v>
      </c>
    </row>
    <row r="196" spans="2:13" x14ac:dyDescent="0.25">
      <c r="B196" s="6"/>
      <c r="C196" s="6"/>
      <c r="D196" s="20"/>
      <c r="E196" s="20"/>
      <c r="F196" s="20"/>
      <c r="G196" s="20"/>
      <c r="H196" s="20"/>
      <c r="I196" s="20"/>
      <c r="J196" s="20"/>
      <c r="K196" s="20"/>
      <c r="L196" s="20"/>
      <c r="M196" s="20"/>
    </row>
    <row r="197" spans="2:13" x14ac:dyDescent="0.25">
      <c r="B197" s="6"/>
      <c r="C197" s="6"/>
      <c r="D197" s="20"/>
      <c r="E197" s="20"/>
      <c r="F197" s="20"/>
      <c r="G197" s="20"/>
      <c r="H197" s="64">
        <v>59</v>
      </c>
      <c r="I197" s="20"/>
      <c r="J197" s="20"/>
      <c r="K197" s="20">
        <f>24+8</f>
        <v>32</v>
      </c>
      <c r="L197" s="20"/>
      <c r="M197" s="20"/>
    </row>
    <row r="198" spans="2:13" x14ac:dyDescent="0.25">
      <c r="B198" s="6"/>
      <c r="C198" s="6"/>
      <c r="D198" s="20"/>
      <c r="E198" s="20"/>
      <c r="F198" s="20"/>
      <c r="G198" s="20"/>
      <c r="H198" s="20"/>
      <c r="I198" s="20"/>
      <c r="J198" s="20"/>
      <c r="K198" s="20"/>
      <c r="L198" s="20"/>
      <c r="M198" s="20"/>
    </row>
    <row r="199" spans="2:13" x14ac:dyDescent="0.25">
      <c r="B199" s="6"/>
      <c r="C199" s="6"/>
      <c r="D199" s="20"/>
      <c r="E199" s="20"/>
      <c r="F199" s="20"/>
      <c r="G199" s="20"/>
      <c r="H199" s="20"/>
      <c r="I199" s="20"/>
      <c r="J199" s="20"/>
      <c r="K199" s="20"/>
      <c r="L199" s="20"/>
      <c r="M199" s="20"/>
    </row>
    <row r="200" spans="2:13" x14ac:dyDescent="0.25">
      <c r="I200" t="s">
        <v>21</v>
      </c>
      <c r="K200" t="s">
        <v>23</v>
      </c>
      <c r="L200" t="s">
        <v>24</v>
      </c>
    </row>
    <row r="201" spans="2:13" ht="14.25" customHeight="1" x14ac:dyDescent="0.25">
      <c r="J201" t="s">
        <v>22</v>
      </c>
      <c r="K201">
        <v>240</v>
      </c>
      <c r="L201">
        <v>240</v>
      </c>
    </row>
    <row r="202" spans="2:13" x14ac:dyDescent="0.25">
      <c r="D202" s="1" t="s">
        <v>4</v>
      </c>
      <c r="E202" s="1">
        <v>178</v>
      </c>
      <c r="F202">
        <f>E202*2</f>
        <v>356</v>
      </c>
      <c r="J202" t="s">
        <v>15</v>
      </c>
      <c r="K202">
        <f>236+62</f>
        <v>298</v>
      </c>
      <c r="L202">
        <f>236+62</f>
        <v>298</v>
      </c>
    </row>
    <row r="203" spans="2:13" x14ac:dyDescent="0.25">
      <c r="D203" s="1" t="s">
        <v>10</v>
      </c>
      <c r="E203" s="1">
        <f>E202*2</f>
        <v>356</v>
      </c>
      <c r="F203">
        <f t="shared" ref="F203:F204" si="0">E203*2</f>
        <v>712</v>
      </c>
      <c r="J203" t="s">
        <v>4</v>
      </c>
      <c r="K203">
        <v>100</v>
      </c>
      <c r="M203" t="s">
        <v>25</v>
      </c>
    </row>
    <row r="204" spans="2:13" x14ac:dyDescent="0.25">
      <c r="D204" s="1" t="s">
        <v>11</v>
      </c>
      <c r="E204" s="1">
        <f>178*2</f>
        <v>356</v>
      </c>
      <c r="F204">
        <f t="shared" si="0"/>
        <v>712</v>
      </c>
    </row>
    <row r="205" spans="2:13" x14ac:dyDescent="0.25">
      <c r="J205" t="s">
        <v>10</v>
      </c>
      <c r="K205">
        <v>40</v>
      </c>
      <c r="L205">
        <v>40</v>
      </c>
    </row>
    <row r="206" spans="2:13" x14ac:dyDescent="0.25">
      <c r="C206" s="125" t="s">
        <v>14</v>
      </c>
      <c r="D206" s="126"/>
      <c r="E206" s="8" t="s">
        <v>4</v>
      </c>
      <c r="F206" s="9">
        <v>0</v>
      </c>
    </row>
    <row r="207" spans="2:13" x14ac:dyDescent="0.25">
      <c r="C207" s="127"/>
      <c r="D207" s="128"/>
      <c r="E207" s="8" t="s">
        <v>10</v>
      </c>
      <c r="F207" s="9">
        <v>0</v>
      </c>
    </row>
    <row r="208" spans="2:13" x14ac:dyDescent="0.25">
      <c r="C208" s="127"/>
      <c r="D208" s="128"/>
      <c r="E208" s="8" t="s">
        <v>15</v>
      </c>
      <c r="F208" s="9">
        <v>0</v>
      </c>
    </row>
    <row r="209" spans="2:15" x14ac:dyDescent="0.25">
      <c r="C209" s="127"/>
      <c r="D209" s="128"/>
      <c r="E209" s="8" t="s">
        <v>7</v>
      </c>
      <c r="F209" s="9">
        <v>113</v>
      </c>
      <c r="G209" s="19">
        <f>COUNT(J148:J159,L148:L159,J146,L146,J134:J144,L134:L144,J112:J132,L88:L132,J88:J95,J97:J110,J86,L86,L84,J84,J66:J82,L40:L82,J45:J64,J40:J41,J35:J37,L35:L38,L28:L32,J32,J29)</f>
        <v>236</v>
      </c>
    </row>
    <row r="210" spans="2:15" x14ac:dyDescent="0.25">
      <c r="C210" s="129"/>
      <c r="D210" s="130"/>
      <c r="E210" s="8" t="s">
        <v>8</v>
      </c>
      <c r="F210" s="9">
        <v>123</v>
      </c>
    </row>
    <row r="211" spans="2:15" x14ac:dyDescent="0.25">
      <c r="C211" s="124" t="s">
        <v>16</v>
      </c>
      <c r="D211" s="124"/>
      <c r="E211" s="11" t="s">
        <v>4</v>
      </c>
      <c r="F211" s="11">
        <v>18</v>
      </c>
      <c r="G211" s="18">
        <f>COUNT(D29:D31,D35:D47,D49:D50)</f>
        <v>18</v>
      </c>
      <c r="J211">
        <f>21</f>
        <v>21</v>
      </c>
    </row>
    <row r="212" spans="2:15" x14ac:dyDescent="0.25">
      <c r="B212" s="15" t="s">
        <v>17</v>
      </c>
      <c r="C212" s="16" t="s">
        <v>18</v>
      </c>
      <c r="D212" s="15"/>
      <c r="E212" s="14" t="s">
        <v>4</v>
      </c>
      <c r="F212" s="14">
        <v>22</v>
      </c>
      <c r="G212" s="15">
        <f>COUNT(D96:D97,D93:D94,D90:D91,D84,D80:D82,D66:D73,D60:D61,D56,D54)</f>
        <v>22</v>
      </c>
      <c r="J212">
        <v>16</v>
      </c>
    </row>
    <row r="213" spans="2:15" x14ac:dyDescent="0.25">
      <c r="C213" s="25" t="s">
        <v>18</v>
      </c>
      <c r="D213" s="26"/>
      <c r="E213" s="23" t="s">
        <v>7</v>
      </c>
      <c r="F213" s="23">
        <v>31</v>
      </c>
      <c r="G213" s="23"/>
    </row>
    <row r="214" spans="2:15" x14ac:dyDescent="0.25">
      <c r="E214" s="23" t="s">
        <v>8</v>
      </c>
      <c r="F214" s="23">
        <v>31</v>
      </c>
      <c r="G214" s="24"/>
      <c r="I214" s="93"/>
      <c r="J214" s="93"/>
      <c r="K214" s="93"/>
      <c r="L214" s="93"/>
      <c r="M214" s="93"/>
      <c r="N214" s="93"/>
      <c r="O214" s="93"/>
    </row>
    <row r="216" spans="2:15" ht="19.5" thickBot="1" x14ac:dyDescent="0.3">
      <c r="B216" s="44"/>
      <c r="C216" s="44"/>
      <c r="D216" s="44"/>
      <c r="E216" s="94"/>
      <c r="F216" s="95" t="s">
        <v>56</v>
      </c>
      <c r="G216" s="44"/>
      <c r="H216" s="44"/>
      <c r="I216" s="44"/>
    </row>
    <row r="217" spans="2:15" ht="15.75" thickBot="1" x14ac:dyDescent="0.3">
      <c r="B217" s="44"/>
      <c r="C217" s="44"/>
      <c r="D217" s="44"/>
      <c r="E217" s="121" t="s">
        <v>55</v>
      </c>
      <c r="F217" s="122"/>
      <c r="G217" s="121" t="s">
        <v>57</v>
      </c>
      <c r="H217" s="123"/>
      <c r="I217" s="122"/>
    </row>
    <row r="218" spans="2:15" x14ac:dyDescent="0.25">
      <c r="B218" s="46" t="s">
        <v>58</v>
      </c>
      <c r="C218" s="46" t="s">
        <v>59</v>
      </c>
      <c r="D218" s="46" t="s">
        <v>60</v>
      </c>
      <c r="E218" s="96" t="s">
        <v>4</v>
      </c>
      <c r="F218" s="96" t="s">
        <v>22</v>
      </c>
      <c r="G218" s="96" t="s">
        <v>61</v>
      </c>
      <c r="H218" s="96" t="s">
        <v>62</v>
      </c>
      <c r="I218" s="96" t="s">
        <v>15</v>
      </c>
    </row>
    <row r="219" spans="2:15" x14ac:dyDescent="0.25">
      <c r="B219" s="82">
        <v>3903</v>
      </c>
      <c r="C219" s="82" t="s">
        <v>63</v>
      </c>
      <c r="D219" s="97">
        <v>98</v>
      </c>
      <c r="E219" s="98">
        <v>121</v>
      </c>
      <c r="F219" s="82">
        <v>0</v>
      </c>
      <c r="G219" s="82">
        <v>0</v>
      </c>
      <c r="H219" s="82"/>
      <c r="I219" s="82">
        <v>0</v>
      </c>
    </row>
    <row r="220" spans="2:15" x14ac:dyDescent="0.25">
      <c r="B220" s="82">
        <v>3943</v>
      </c>
      <c r="C220" s="82" t="s">
        <v>64</v>
      </c>
      <c r="D220" s="97">
        <v>155</v>
      </c>
      <c r="E220" s="82"/>
      <c r="F220" s="82"/>
      <c r="G220" s="82"/>
      <c r="H220" s="82"/>
      <c r="I220" s="98">
        <v>175</v>
      </c>
    </row>
    <row r="221" spans="2:15" x14ac:dyDescent="0.25">
      <c r="B221" s="82">
        <v>3500</v>
      </c>
      <c r="C221" s="82" t="s">
        <v>65</v>
      </c>
      <c r="D221" s="97">
        <v>181</v>
      </c>
      <c r="E221" s="82">
        <v>1</v>
      </c>
      <c r="F221" s="98">
        <v>2</v>
      </c>
      <c r="G221" s="99">
        <v>1</v>
      </c>
      <c r="H221" s="99">
        <v>2</v>
      </c>
      <c r="I221" s="99">
        <v>2</v>
      </c>
    </row>
    <row r="222" spans="2:15" x14ac:dyDescent="0.25">
      <c r="B222" s="82">
        <v>4030</v>
      </c>
      <c r="C222" s="82" t="s">
        <v>66</v>
      </c>
      <c r="D222" s="97">
        <v>187</v>
      </c>
      <c r="E222" s="82"/>
      <c r="F222" s="82"/>
      <c r="G222" s="98">
        <v>18</v>
      </c>
      <c r="H222" s="82"/>
      <c r="I222" s="98">
        <v>47</v>
      </c>
    </row>
    <row r="223" spans="2:15" x14ac:dyDescent="0.25">
      <c r="B223" s="82">
        <v>4030</v>
      </c>
      <c r="C223" s="82" t="s">
        <v>66</v>
      </c>
      <c r="D223" s="97">
        <v>188</v>
      </c>
      <c r="E223" s="82"/>
      <c r="F223" s="98">
        <v>241</v>
      </c>
      <c r="G223" s="99"/>
      <c r="H223" s="82"/>
      <c r="I223" s="82"/>
    </row>
    <row r="224" spans="2:15" x14ac:dyDescent="0.25">
      <c r="B224" s="82">
        <v>4033</v>
      </c>
      <c r="C224" s="82" t="s">
        <v>67</v>
      </c>
      <c r="D224" s="97">
        <v>190</v>
      </c>
      <c r="E224" s="82"/>
      <c r="F224" s="82"/>
      <c r="G224" s="99"/>
      <c r="H224" s="82"/>
      <c r="I224" s="98">
        <v>12</v>
      </c>
    </row>
    <row r="225" spans="2:9" x14ac:dyDescent="0.25">
      <c r="B225" s="82">
        <v>4148</v>
      </c>
      <c r="C225" s="82" t="s">
        <v>68</v>
      </c>
      <c r="D225" s="97">
        <v>245</v>
      </c>
      <c r="E225" s="82" t="s">
        <v>69</v>
      </c>
      <c r="F225" s="82"/>
      <c r="G225" s="100">
        <v>22</v>
      </c>
      <c r="H225" s="82"/>
      <c r="I225" s="82"/>
    </row>
    <row r="226" spans="2:9" x14ac:dyDescent="0.25">
      <c r="B226" s="82">
        <v>4148</v>
      </c>
      <c r="C226" s="82" t="s">
        <v>68</v>
      </c>
      <c r="D226" s="97">
        <v>246</v>
      </c>
      <c r="E226" s="46">
        <v>30</v>
      </c>
      <c r="F226" s="46">
        <v>58</v>
      </c>
      <c r="G226" s="99"/>
      <c r="H226" s="82"/>
      <c r="I226" s="82"/>
    </row>
    <row r="227" spans="2:9" x14ac:dyDescent="0.25">
      <c r="B227" s="82">
        <v>4202</v>
      </c>
      <c r="C227" s="82" t="s">
        <v>70</v>
      </c>
      <c r="D227" s="97">
        <v>281</v>
      </c>
      <c r="E227" s="82"/>
      <c r="F227" s="82"/>
      <c r="G227" s="98">
        <v>30</v>
      </c>
      <c r="H227" s="98">
        <v>177</v>
      </c>
      <c r="I227" s="101">
        <v>62</v>
      </c>
    </row>
    <row r="228" spans="2:9" x14ac:dyDescent="0.25">
      <c r="B228" s="82">
        <v>4302</v>
      </c>
      <c r="C228" s="82" t="s">
        <v>71</v>
      </c>
      <c r="D228" s="97">
        <v>334</v>
      </c>
      <c r="E228" s="46">
        <v>24</v>
      </c>
      <c r="F228" s="46">
        <v>49</v>
      </c>
      <c r="G228" s="82"/>
      <c r="H228" s="82"/>
      <c r="I228" s="82"/>
    </row>
    <row r="229" spans="2:9" x14ac:dyDescent="0.25">
      <c r="B229" s="82">
        <v>4302</v>
      </c>
      <c r="C229" s="82" t="s">
        <v>71</v>
      </c>
      <c r="D229" s="97">
        <v>335</v>
      </c>
      <c r="E229" s="82"/>
      <c r="F229" s="82"/>
      <c r="G229" s="46">
        <v>65</v>
      </c>
      <c r="H229" s="46">
        <v>114</v>
      </c>
      <c r="I229" s="82"/>
    </row>
    <row r="230" spans="2:9" x14ac:dyDescent="0.25">
      <c r="B230" s="82">
        <v>4408</v>
      </c>
      <c r="C230" s="82" t="s">
        <v>74</v>
      </c>
      <c r="D230" s="97">
        <v>421</v>
      </c>
      <c r="E230" s="82"/>
      <c r="F230" s="82"/>
      <c r="G230" s="46">
        <v>26</v>
      </c>
      <c r="H230" s="46">
        <v>44</v>
      </c>
      <c r="I230" s="82">
        <v>42</v>
      </c>
    </row>
    <row r="231" spans="2:9" x14ac:dyDescent="0.25">
      <c r="B231" s="82">
        <v>4408</v>
      </c>
      <c r="C231" s="82" t="s">
        <v>72</v>
      </c>
      <c r="D231" s="97">
        <v>403</v>
      </c>
      <c r="E231" s="82"/>
      <c r="F231" s="82">
        <v>4</v>
      </c>
      <c r="G231" s="46"/>
      <c r="H231" s="46"/>
      <c r="I231" s="82"/>
    </row>
    <row r="232" spans="2:9" x14ac:dyDescent="0.25">
      <c r="B232" s="82">
        <v>4483</v>
      </c>
      <c r="C232" s="82" t="s">
        <v>73</v>
      </c>
      <c r="D232" s="97">
        <v>451</v>
      </c>
      <c r="E232" s="82">
        <v>1</v>
      </c>
      <c r="F232" s="82"/>
      <c r="G232" s="46"/>
      <c r="H232" s="46"/>
      <c r="I232" s="82"/>
    </row>
    <row r="233" spans="2:9" x14ac:dyDescent="0.25">
      <c r="B233" s="104">
        <v>4483</v>
      </c>
      <c r="C233" s="104" t="s">
        <v>73</v>
      </c>
      <c r="D233" s="97">
        <v>452</v>
      </c>
      <c r="E233" s="82"/>
      <c r="F233" s="82"/>
      <c r="G233" s="46">
        <v>16</v>
      </c>
      <c r="H233" s="46">
        <v>18</v>
      </c>
      <c r="I233" s="82">
        <v>15</v>
      </c>
    </row>
    <row r="234" spans="2:9" x14ac:dyDescent="0.25">
      <c r="B234" s="82"/>
      <c r="C234" s="82"/>
      <c r="D234" s="97"/>
      <c r="E234" s="82"/>
      <c r="F234" s="82"/>
      <c r="G234" s="46"/>
      <c r="H234" s="46"/>
      <c r="I234" s="82"/>
    </row>
    <row r="235" spans="2:9" x14ac:dyDescent="0.25">
      <c r="B235" s="82"/>
      <c r="C235" s="82"/>
      <c r="D235" s="82"/>
      <c r="E235" s="46">
        <f>SUM(E219:E233)</f>
        <v>177</v>
      </c>
      <c r="F235" s="46">
        <f t="shared" ref="F235:I235" si="1">SUM(F219:F233)</f>
        <v>354</v>
      </c>
      <c r="G235" s="46">
        <f>SUM(G219:G233)</f>
        <v>178</v>
      </c>
      <c r="H235" s="46">
        <f t="shared" si="1"/>
        <v>355</v>
      </c>
      <c r="I235" s="46">
        <f t="shared" si="1"/>
        <v>355</v>
      </c>
    </row>
    <row r="236" spans="2:9" x14ac:dyDescent="0.25">
      <c r="B236" s="44"/>
      <c r="C236" s="44"/>
      <c r="D236" s="44"/>
      <c r="E236" s="44"/>
      <c r="F236" s="44"/>
      <c r="G236" s="44"/>
      <c r="H236" s="44"/>
      <c r="I236" s="44"/>
    </row>
    <row r="237" spans="2:9" x14ac:dyDescent="0.25">
      <c r="B237" s="44"/>
      <c r="C237" s="44"/>
      <c r="D237" s="46" t="s">
        <v>43</v>
      </c>
      <c r="E237" s="46">
        <v>178</v>
      </c>
      <c r="F237" s="46">
        <v>356</v>
      </c>
      <c r="G237" s="46">
        <v>178</v>
      </c>
      <c r="H237" s="46">
        <v>356</v>
      </c>
      <c r="I237" s="46">
        <v>356</v>
      </c>
    </row>
    <row r="238" spans="2:9" x14ac:dyDescent="0.25">
      <c r="B238" s="44"/>
      <c r="C238" s="44"/>
      <c r="D238" s="46" t="s">
        <v>44</v>
      </c>
      <c r="E238" s="46">
        <f>+E237-E235</f>
        <v>1</v>
      </c>
      <c r="F238" s="46">
        <f t="shared" ref="F238:I238" si="2">+F237-F235</f>
        <v>2</v>
      </c>
      <c r="G238" s="46">
        <f t="shared" si="2"/>
        <v>0</v>
      </c>
      <c r="H238" s="46">
        <f t="shared" si="2"/>
        <v>1</v>
      </c>
      <c r="I238" s="46">
        <f t="shared" si="2"/>
        <v>1</v>
      </c>
    </row>
  </sheetData>
  <mergeCells count="11">
    <mergeCell ref="B2:B3"/>
    <mergeCell ref="C2:C3"/>
    <mergeCell ref="D2:E2"/>
    <mergeCell ref="F2:G2"/>
    <mergeCell ref="H2:I2"/>
    <mergeCell ref="E217:F217"/>
    <mergeCell ref="G217:I217"/>
    <mergeCell ref="C211:D211"/>
    <mergeCell ref="C206:D210"/>
    <mergeCell ref="L2:M2"/>
    <mergeCell ref="J2:K2"/>
  </mergeCells>
  <pageMargins left="0.7" right="0.7" top="0.75" bottom="0.75" header="0.3" footer="0.3"/>
  <pageSetup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1:H34"/>
  <sheetViews>
    <sheetView workbookViewId="0">
      <selection activeCell="E16" sqref="E16"/>
    </sheetView>
  </sheetViews>
  <sheetFormatPr defaultRowHeight="15" x14ac:dyDescent="0.25"/>
  <cols>
    <col min="4" max="8" width="9.140625" style="32"/>
  </cols>
  <sheetData>
    <row r="1" spans="4:8" ht="15.75" x14ac:dyDescent="0.25">
      <c r="D1" s="131" t="s">
        <v>27</v>
      </c>
      <c r="E1" s="131"/>
      <c r="F1" s="131"/>
      <c r="G1" s="131"/>
      <c r="H1" s="131"/>
    </row>
    <row r="2" spans="4:8" x14ac:dyDescent="0.25">
      <c r="D2" s="132" t="s">
        <v>0</v>
      </c>
      <c r="E2" s="133" t="s">
        <v>1</v>
      </c>
      <c r="F2" s="132" t="s">
        <v>4</v>
      </c>
      <c r="G2" s="132" t="s">
        <v>5</v>
      </c>
      <c r="H2" s="132" t="s">
        <v>6</v>
      </c>
    </row>
    <row r="3" spans="4:8" x14ac:dyDescent="0.25">
      <c r="D3" s="132"/>
      <c r="E3" s="133"/>
      <c r="F3" s="132"/>
      <c r="G3" s="132"/>
      <c r="H3" s="132"/>
    </row>
    <row r="4" spans="4:8" x14ac:dyDescent="0.25">
      <c r="D4" s="30">
        <v>1</v>
      </c>
      <c r="E4" s="30">
        <v>305</v>
      </c>
      <c r="F4" s="30">
        <v>1</v>
      </c>
      <c r="G4" s="30"/>
      <c r="H4" s="30"/>
    </row>
    <row r="5" spans="4:8" x14ac:dyDescent="0.25">
      <c r="D5" s="30">
        <v>2</v>
      </c>
      <c r="E5" s="30">
        <v>306</v>
      </c>
      <c r="F5" s="30">
        <v>1</v>
      </c>
      <c r="G5" s="30">
        <v>1</v>
      </c>
      <c r="H5" s="30">
        <v>1</v>
      </c>
    </row>
    <row r="6" spans="4:8" x14ac:dyDescent="0.25">
      <c r="D6" s="30">
        <v>3</v>
      </c>
      <c r="E6" s="30">
        <v>307</v>
      </c>
      <c r="F6" s="30">
        <v>1</v>
      </c>
      <c r="G6" s="30">
        <v>1</v>
      </c>
      <c r="H6" s="30">
        <v>1</v>
      </c>
    </row>
    <row r="7" spans="4:8" x14ac:dyDescent="0.25">
      <c r="D7" s="30">
        <v>4</v>
      </c>
      <c r="E7" s="30">
        <v>312</v>
      </c>
      <c r="F7" s="30"/>
      <c r="G7" s="30">
        <v>1</v>
      </c>
      <c r="H7" s="30">
        <v>1</v>
      </c>
    </row>
    <row r="8" spans="4:8" x14ac:dyDescent="0.25">
      <c r="D8" s="30">
        <v>5</v>
      </c>
      <c r="E8" s="30">
        <v>506</v>
      </c>
      <c r="F8" s="30"/>
      <c r="G8" s="30"/>
      <c r="H8" s="30">
        <v>1</v>
      </c>
    </row>
    <row r="9" spans="4:8" x14ac:dyDescent="0.25">
      <c r="D9" s="30">
        <v>6</v>
      </c>
      <c r="E9" s="30">
        <v>508</v>
      </c>
      <c r="F9" s="30">
        <v>1</v>
      </c>
      <c r="G9" s="30"/>
      <c r="H9" s="30"/>
    </row>
    <row r="10" spans="4:8" x14ac:dyDescent="0.25">
      <c r="D10" s="30">
        <v>7</v>
      </c>
      <c r="E10" s="30">
        <v>602</v>
      </c>
      <c r="F10" s="30"/>
      <c r="G10" s="30">
        <v>1</v>
      </c>
      <c r="H10" s="30"/>
    </row>
    <row r="11" spans="4:8" x14ac:dyDescent="0.25">
      <c r="D11" s="30">
        <v>8</v>
      </c>
      <c r="E11" s="30">
        <v>607</v>
      </c>
      <c r="F11" s="30"/>
      <c r="G11" s="30">
        <v>1</v>
      </c>
      <c r="H11" s="30"/>
    </row>
    <row r="12" spans="4:8" x14ac:dyDescent="0.25">
      <c r="D12" s="30">
        <v>9</v>
      </c>
      <c r="E12" s="30">
        <v>708</v>
      </c>
      <c r="F12" s="30">
        <v>1</v>
      </c>
      <c r="G12" s="30">
        <v>1</v>
      </c>
      <c r="H12" s="30">
        <v>1</v>
      </c>
    </row>
    <row r="13" spans="4:8" x14ac:dyDescent="0.25">
      <c r="D13" s="30">
        <v>10</v>
      </c>
      <c r="E13" s="30">
        <v>710</v>
      </c>
      <c r="F13" s="30"/>
      <c r="G13" s="30">
        <v>1</v>
      </c>
      <c r="H13" s="30">
        <v>1</v>
      </c>
    </row>
    <row r="14" spans="4:8" x14ac:dyDescent="0.25">
      <c r="D14" s="30">
        <v>11</v>
      </c>
      <c r="E14" s="30">
        <v>911</v>
      </c>
      <c r="F14" s="30"/>
      <c r="G14" s="30">
        <v>1</v>
      </c>
      <c r="H14" s="30">
        <v>1</v>
      </c>
    </row>
    <row r="15" spans="4:8" x14ac:dyDescent="0.25">
      <c r="D15" s="30">
        <v>12</v>
      </c>
      <c r="E15" s="30">
        <v>1007</v>
      </c>
      <c r="F15" s="30"/>
      <c r="G15" s="30"/>
      <c r="H15" s="30">
        <v>1</v>
      </c>
    </row>
    <row r="16" spans="4:8" x14ac:dyDescent="0.25">
      <c r="D16" s="30">
        <v>13</v>
      </c>
      <c r="E16" s="30">
        <v>1008</v>
      </c>
      <c r="F16" s="30">
        <v>1</v>
      </c>
      <c r="G16" s="30"/>
      <c r="H16" s="30"/>
    </row>
    <row r="17" spans="4:8" x14ac:dyDescent="0.25">
      <c r="D17" s="30">
        <v>14</v>
      </c>
      <c r="E17" s="30">
        <v>1011</v>
      </c>
      <c r="F17" s="30"/>
      <c r="G17" s="30"/>
      <c r="H17" s="30">
        <v>1</v>
      </c>
    </row>
    <row r="18" spans="4:8" x14ac:dyDescent="0.25">
      <c r="D18" s="30">
        <v>15</v>
      </c>
      <c r="E18" s="30">
        <v>1107</v>
      </c>
      <c r="F18" s="30"/>
      <c r="G18" s="30"/>
      <c r="H18" s="30">
        <v>1</v>
      </c>
    </row>
    <row r="19" spans="4:8" x14ac:dyDescent="0.25">
      <c r="D19" s="30">
        <v>16</v>
      </c>
      <c r="E19" s="30">
        <v>1111</v>
      </c>
      <c r="F19" s="30"/>
      <c r="G19" s="30"/>
      <c r="H19" s="30">
        <v>1</v>
      </c>
    </row>
    <row r="20" spans="4:8" x14ac:dyDescent="0.25">
      <c r="D20" s="30">
        <v>17</v>
      </c>
      <c r="E20" s="30">
        <v>1112</v>
      </c>
      <c r="F20" s="30"/>
      <c r="G20" s="30"/>
      <c r="H20" s="30">
        <v>1</v>
      </c>
    </row>
    <row r="21" spans="4:8" x14ac:dyDescent="0.25">
      <c r="D21" s="30">
        <v>18</v>
      </c>
      <c r="E21" s="30">
        <v>1210</v>
      </c>
      <c r="F21" s="30">
        <v>1</v>
      </c>
      <c r="G21" s="30">
        <v>1</v>
      </c>
      <c r="H21" s="30">
        <v>1</v>
      </c>
    </row>
    <row r="22" spans="4:8" x14ac:dyDescent="0.25">
      <c r="D22" s="30">
        <v>19</v>
      </c>
      <c r="E22" s="30">
        <v>1305</v>
      </c>
      <c r="F22" s="30">
        <v>1</v>
      </c>
      <c r="G22" s="30"/>
      <c r="H22" s="30"/>
    </row>
    <row r="23" spans="4:8" x14ac:dyDescent="0.25">
      <c r="D23" s="30">
        <v>20</v>
      </c>
      <c r="E23" s="30">
        <v>1311</v>
      </c>
      <c r="F23" s="30"/>
      <c r="G23" s="30"/>
      <c r="H23" s="30">
        <v>1</v>
      </c>
    </row>
    <row r="24" spans="4:8" x14ac:dyDescent="0.25">
      <c r="D24" s="30">
        <v>21</v>
      </c>
      <c r="E24" s="30">
        <v>1401</v>
      </c>
      <c r="F24" s="30">
        <v>1</v>
      </c>
      <c r="G24" s="30">
        <v>1</v>
      </c>
      <c r="H24" s="30">
        <v>1</v>
      </c>
    </row>
    <row r="25" spans="4:8" x14ac:dyDescent="0.25">
      <c r="D25" s="30">
        <v>22</v>
      </c>
      <c r="E25" s="30">
        <v>1402</v>
      </c>
      <c r="F25" s="30">
        <v>1</v>
      </c>
      <c r="G25" s="30">
        <v>1</v>
      </c>
      <c r="H25" s="30">
        <v>1</v>
      </c>
    </row>
    <row r="26" spans="4:8" x14ac:dyDescent="0.25">
      <c r="D26" s="30">
        <v>23</v>
      </c>
      <c r="E26" s="30">
        <v>1403</v>
      </c>
      <c r="F26" s="30">
        <v>1</v>
      </c>
      <c r="G26" s="30">
        <v>1</v>
      </c>
      <c r="H26" s="30">
        <v>1</v>
      </c>
    </row>
    <row r="27" spans="4:8" x14ac:dyDescent="0.25">
      <c r="D27" s="30">
        <v>24</v>
      </c>
      <c r="E27" s="30">
        <v>1404</v>
      </c>
      <c r="F27" s="30">
        <v>1</v>
      </c>
      <c r="G27" s="30">
        <v>1</v>
      </c>
      <c r="H27" s="30">
        <v>1</v>
      </c>
    </row>
    <row r="28" spans="4:8" x14ac:dyDescent="0.25">
      <c r="D28" s="30">
        <v>25</v>
      </c>
      <c r="E28" s="30">
        <v>1405</v>
      </c>
      <c r="F28" s="30">
        <v>1</v>
      </c>
      <c r="G28" s="30">
        <v>1</v>
      </c>
      <c r="H28" s="30">
        <v>1</v>
      </c>
    </row>
    <row r="29" spans="4:8" x14ac:dyDescent="0.25">
      <c r="D29" s="30">
        <v>26</v>
      </c>
      <c r="E29" s="30">
        <v>1505</v>
      </c>
      <c r="F29" s="30">
        <v>1</v>
      </c>
      <c r="G29" s="30"/>
      <c r="H29" s="30"/>
    </row>
    <row r="30" spans="4:8" x14ac:dyDescent="0.25">
      <c r="D30" s="30">
        <v>27</v>
      </c>
      <c r="E30" s="30">
        <v>1506</v>
      </c>
      <c r="F30" s="30"/>
      <c r="G30" s="30">
        <v>1</v>
      </c>
      <c r="H30" s="30"/>
    </row>
    <row r="31" spans="4:8" x14ac:dyDescent="0.25">
      <c r="D31" s="30">
        <v>28</v>
      </c>
      <c r="E31" s="30">
        <v>1509</v>
      </c>
      <c r="F31" s="30"/>
      <c r="G31" s="30"/>
      <c r="H31" s="30">
        <v>1</v>
      </c>
    </row>
    <row r="32" spans="4:8" x14ac:dyDescent="0.25">
      <c r="D32" s="30">
        <v>29</v>
      </c>
      <c r="E32" s="30">
        <v>1606</v>
      </c>
      <c r="F32" s="30"/>
      <c r="G32" s="30">
        <v>1</v>
      </c>
      <c r="H32" s="30"/>
    </row>
    <row r="33" spans="4:8" x14ac:dyDescent="0.25">
      <c r="D33" s="30">
        <v>30</v>
      </c>
      <c r="E33" s="30">
        <v>1609</v>
      </c>
      <c r="F33" s="30"/>
      <c r="G33" s="30"/>
      <c r="H33" s="30">
        <v>1</v>
      </c>
    </row>
    <row r="34" spans="4:8" x14ac:dyDescent="0.25">
      <c r="F34" s="32">
        <f>SUM(F4:F33)</f>
        <v>14</v>
      </c>
      <c r="G34" s="32">
        <f>SUM(G4:G33)</f>
        <v>16</v>
      </c>
      <c r="H34" s="32">
        <f>SUM(H4:H33)</f>
        <v>21</v>
      </c>
    </row>
  </sheetData>
  <mergeCells count="6">
    <mergeCell ref="D1:H1"/>
    <mergeCell ref="D2:D3"/>
    <mergeCell ref="E2:E3"/>
    <mergeCell ref="F2:F3"/>
    <mergeCell ref="G2:G3"/>
    <mergeCell ref="H2:H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138"/>
  <sheetViews>
    <sheetView topLeftCell="A34" workbookViewId="0">
      <selection activeCell="D21" sqref="D21"/>
    </sheetView>
  </sheetViews>
  <sheetFormatPr defaultRowHeight="15" x14ac:dyDescent="0.25"/>
  <cols>
    <col min="2" max="2" width="9.140625" style="32"/>
  </cols>
  <sheetData>
    <row r="2" spans="2:8" ht="15.75" customHeight="1" x14ac:dyDescent="0.25">
      <c r="B2" s="134" t="s">
        <v>29</v>
      </c>
      <c r="C2" s="134"/>
      <c r="D2" s="134"/>
      <c r="E2" s="134"/>
      <c r="F2" s="134"/>
      <c r="G2" s="134"/>
      <c r="H2" s="134"/>
    </row>
    <row r="3" spans="2:8" x14ac:dyDescent="0.25">
      <c r="B3" s="132" t="s">
        <v>0</v>
      </c>
      <c r="C3" s="133" t="s">
        <v>1</v>
      </c>
      <c r="D3" s="132" t="s">
        <v>4</v>
      </c>
      <c r="E3" s="132" t="s">
        <v>5</v>
      </c>
      <c r="F3" s="132" t="s">
        <v>6</v>
      </c>
      <c r="G3" s="132" t="s">
        <v>7</v>
      </c>
      <c r="H3" s="132" t="s">
        <v>8</v>
      </c>
    </row>
    <row r="4" spans="2:8" x14ac:dyDescent="0.25">
      <c r="B4" s="132"/>
      <c r="C4" s="133"/>
      <c r="D4" s="132"/>
      <c r="E4" s="132"/>
      <c r="F4" s="132"/>
      <c r="G4" s="132"/>
      <c r="H4" s="132"/>
    </row>
    <row r="5" spans="2:8" x14ac:dyDescent="0.25">
      <c r="B5" s="30">
        <v>1</v>
      </c>
      <c r="C5" s="30">
        <v>201</v>
      </c>
      <c r="D5" s="30">
        <v>1</v>
      </c>
      <c r="E5" s="30">
        <v>1</v>
      </c>
      <c r="F5" s="30">
        <v>1</v>
      </c>
      <c r="G5" s="30">
        <v>1</v>
      </c>
      <c r="H5" s="30">
        <v>1</v>
      </c>
    </row>
    <row r="6" spans="2:8" x14ac:dyDescent="0.25">
      <c r="B6" s="30">
        <v>2</v>
      </c>
      <c r="C6" s="30">
        <v>202</v>
      </c>
      <c r="D6" s="30">
        <v>1</v>
      </c>
      <c r="E6" s="30">
        <v>1</v>
      </c>
      <c r="F6" s="30">
        <v>1</v>
      </c>
      <c r="G6" s="30">
        <v>1</v>
      </c>
      <c r="H6" s="30">
        <v>1</v>
      </c>
    </row>
    <row r="7" spans="2:8" x14ac:dyDescent="0.25">
      <c r="B7" s="30">
        <v>3</v>
      </c>
      <c r="C7" s="30">
        <v>203</v>
      </c>
      <c r="D7" s="30">
        <v>1</v>
      </c>
      <c r="E7" s="30">
        <v>1</v>
      </c>
      <c r="F7" s="30">
        <v>1</v>
      </c>
      <c r="G7" s="30">
        <v>1</v>
      </c>
      <c r="H7" s="30">
        <v>1</v>
      </c>
    </row>
    <row r="8" spans="2:8" x14ac:dyDescent="0.25">
      <c r="B8" s="30">
        <v>4</v>
      </c>
      <c r="C8" s="30">
        <v>204</v>
      </c>
      <c r="D8" s="30">
        <v>1</v>
      </c>
      <c r="E8" s="30">
        <v>1</v>
      </c>
      <c r="F8" s="30">
        <v>1</v>
      </c>
      <c r="G8" s="30">
        <v>1</v>
      </c>
      <c r="H8" s="30">
        <v>1</v>
      </c>
    </row>
    <row r="9" spans="2:8" x14ac:dyDescent="0.25">
      <c r="B9" s="30">
        <v>5</v>
      </c>
      <c r="C9" s="30">
        <v>205</v>
      </c>
      <c r="D9" s="30">
        <v>1</v>
      </c>
      <c r="E9" s="30">
        <v>1</v>
      </c>
      <c r="F9" s="30">
        <v>1</v>
      </c>
      <c r="G9" s="30">
        <v>1</v>
      </c>
      <c r="H9" s="30">
        <v>1</v>
      </c>
    </row>
    <row r="10" spans="2:8" x14ac:dyDescent="0.25">
      <c r="B10" s="30">
        <v>6</v>
      </c>
      <c r="C10" s="30">
        <v>206</v>
      </c>
      <c r="D10" s="30">
        <v>1</v>
      </c>
      <c r="E10" s="30">
        <v>1</v>
      </c>
      <c r="F10" s="30">
        <v>1</v>
      </c>
      <c r="G10" s="30">
        <v>1</v>
      </c>
      <c r="H10" s="30">
        <v>1</v>
      </c>
    </row>
    <row r="11" spans="2:8" x14ac:dyDescent="0.25">
      <c r="B11" s="30">
        <v>7</v>
      </c>
      <c r="C11" s="30">
        <v>207</v>
      </c>
      <c r="D11" s="30">
        <v>1</v>
      </c>
      <c r="E11" s="30">
        <v>1</v>
      </c>
      <c r="F11" s="30">
        <v>1</v>
      </c>
      <c r="G11" s="30">
        <v>1</v>
      </c>
      <c r="H11" s="30">
        <v>1</v>
      </c>
    </row>
    <row r="12" spans="2:8" x14ac:dyDescent="0.25">
      <c r="B12" s="30">
        <v>8</v>
      </c>
      <c r="C12" s="30">
        <v>208</v>
      </c>
      <c r="D12" s="30">
        <v>1</v>
      </c>
      <c r="E12" s="30">
        <v>1</v>
      </c>
      <c r="F12" s="30">
        <v>1</v>
      </c>
      <c r="G12" s="30">
        <v>1</v>
      </c>
      <c r="H12" s="30">
        <v>1</v>
      </c>
    </row>
    <row r="13" spans="2:8" x14ac:dyDescent="0.25">
      <c r="B13" s="30">
        <v>9</v>
      </c>
      <c r="C13" s="30">
        <v>209</v>
      </c>
      <c r="D13" s="30">
        <v>1</v>
      </c>
      <c r="E13" s="30">
        <v>1</v>
      </c>
      <c r="F13" s="30">
        <v>1</v>
      </c>
      <c r="G13" s="30">
        <v>1</v>
      </c>
      <c r="H13" s="30">
        <v>1</v>
      </c>
    </row>
    <row r="14" spans="2:8" x14ac:dyDescent="0.25">
      <c r="B14" s="30">
        <v>10</v>
      </c>
      <c r="C14" s="30">
        <v>210</v>
      </c>
      <c r="D14" s="30">
        <v>1</v>
      </c>
      <c r="E14" s="30">
        <v>1</v>
      </c>
      <c r="F14" s="30">
        <v>1</v>
      </c>
      <c r="G14" s="30">
        <v>1</v>
      </c>
      <c r="H14" s="30">
        <v>1</v>
      </c>
    </row>
    <row r="15" spans="2:8" x14ac:dyDescent="0.25">
      <c r="B15" s="30">
        <v>11</v>
      </c>
      <c r="C15" s="30">
        <v>211</v>
      </c>
      <c r="D15" s="30">
        <v>1</v>
      </c>
      <c r="E15" s="30">
        <v>1</v>
      </c>
      <c r="F15" s="30">
        <v>1</v>
      </c>
      <c r="G15" s="30">
        <v>1</v>
      </c>
      <c r="H15" s="30">
        <v>1</v>
      </c>
    </row>
    <row r="16" spans="2:8" x14ac:dyDescent="0.25">
      <c r="B16" s="30">
        <v>12</v>
      </c>
      <c r="C16" s="30">
        <v>212</v>
      </c>
      <c r="D16" s="30">
        <v>1</v>
      </c>
      <c r="E16" s="30">
        <v>1</v>
      </c>
      <c r="F16" s="30">
        <v>1</v>
      </c>
      <c r="G16" s="30">
        <v>1</v>
      </c>
      <c r="H16" s="30">
        <v>1</v>
      </c>
    </row>
    <row r="17" spans="2:8" x14ac:dyDescent="0.25">
      <c r="B17" s="30">
        <v>13</v>
      </c>
      <c r="C17" s="22">
        <v>301</v>
      </c>
      <c r="D17" s="30">
        <v>1</v>
      </c>
      <c r="E17" s="30"/>
      <c r="F17" s="30"/>
      <c r="G17" s="30">
        <v>1</v>
      </c>
      <c r="H17" s="30"/>
    </row>
    <row r="18" spans="2:8" x14ac:dyDescent="0.25">
      <c r="B18" s="30">
        <v>14</v>
      </c>
      <c r="C18" s="22">
        <v>303</v>
      </c>
      <c r="D18" s="30"/>
      <c r="E18" s="30"/>
      <c r="F18" s="30"/>
      <c r="G18" s="30">
        <v>1</v>
      </c>
      <c r="H18" s="30"/>
    </row>
    <row r="19" spans="2:8" x14ac:dyDescent="0.25">
      <c r="B19" s="30">
        <v>15</v>
      </c>
      <c r="C19" s="22">
        <v>304</v>
      </c>
      <c r="D19" s="30"/>
      <c r="E19" s="30"/>
      <c r="F19" s="30"/>
      <c r="G19" s="30">
        <v>1</v>
      </c>
      <c r="H19" s="30"/>
    </row>
    <row r="20" spans="2:8" x14ac:dyDescent="0.25">
      <c r="B20" s="30">
        <v>16</v>
      </c>
      <c r="C20" s="22">
        <v>305</v>
      </c>
      <c r="D20" s="30">
        <v>1</v>
      </c>
      <c r="E20" s="30"/>
      <c r="F20" s="30"/>
      <c r="G20" s="30"/>
      <c r="H20" s="30"/>
    </row>
    <row r="21" spans="2:8" x14ac:dyDescent="0.25">
      <c r="B21" s="30">
        <v>17</v>
      </c>
      <c r="C21" s="22">
        <v>306</v>
      </c>
      <c r="D21" s="30">
        <v>1</v>
      </c>
      <c r="E21" s="30">
        <v>1</v>
      </c>
      <c r="F21" s="30">
        <v>1</v>
      </c>
      <c r="G21" s="30">
        <v>1</v>
      </c>
      <c r="H21" s="30">
        <v>1</v>
      </c>
    </row>
    <row r="22" spans="2:8" x14ac:dyDescent="0.25">
      <c r="B22" s="30">
        <v>18</v>
      </c>
      <c r="C22" s="22">
        <v>307</v>
      </c>
      <c r="D22" s="30">
        <v>1</v>
      </c>
      <c r="E22" s="30">
        <v>1</v>
      </c>
      <c r="F22" s="30">
        <v>1</v>
      </c>
      <c r="G22" s="30">
        <v>1</v>
      </c>
      <c r="H22" s="30">
        <v>1</v>
      </c>
    </row>
    <row r="23" spans="2:8" x14ac:dyDescent="0.25">
      <c r="B23" s="30">
        <v>19</v>
      </c>
      <c r="C23" s="22">
        <v>310</v>
      </c>
      <c r="D23" s="30"/>
      <c r="E23" s="30">
        <v>1</v>
      </c>
      <c r="F23" s="30">
        <v>1</v>
      </c>
      <c r="G23" s="30"/>
      <c r="H23" s="30"/>
    </row>
    <row r="24" spans="2:8" x14ac:dyDescent="0.25">
      <c r="B24" s="30">
        <v>20</v>
      </c>
      <c r="C24" s="22">
        <v>311</v>
      </c>
      <c r="D24" s="30"/>
      <c r="E24" s="30"/>
      <c r="F24" s="30"/>
      <c r="G24" s="30">
        <v>1</v>
      </c>
      <c r="H24" s="30"/>
    </row>
    <row r="25" spans="2:8" x14ac:dyDescent="0.25">
      <c r="B25" s="30">
        <v>21</v>
      </c>
      <c r="C25" s="22">
        <v>312</v>
      </c>
      <c r="D25" s="30"/>
      <c r="E25" s="30"/>
      <c r="F25" s="30"/>
      <c r="G25" s="30">
        <v>1</v>
      </c>
      <c r="H25" s="30">
        <v>1</v>
      </c>
    </row>
    <row r="26" spans="2:8" x14ac:dyDescent="0.25">
      <c r="B26" s="30">
        <v>22</v>
      </c>
      <c r="C26" s="22">
        <v>403</v>
      </c>
      <c r="D26" s="30"/>
      <c r="E26" s="30"/>
      <c r="F26" s="30"/>
      <c r="G26" s="30">
        <v>1</v>
      </c>
      <c r="H26" s="30"/>
    </row>
    <row r="27" spans="2:8" x14ac:dyDescent="0.25">
      <c r="B27" s="30">
        <v>23</v>
      </c>
      <c r="C27" s="22">
        <v>404</v>
      </c>
      <c r="D27" s="30"/>
      <c r="E27" s="30"/>
      <c r="F27" s="30"/>
      <c r="G27" s="30">
        <v>1</v>
      </c>
      <c r="H27" s="30"/>
    </row>
    <row r="28" spans="2:8" x14ac:dyDescent="0.25">
      <c r="B28" s="30">
        <v>24</v>
      </c>
      <c r="C28" s="22">
        <v>405</v>
      </c>
      <c r="D28" s="30"/>
      <c r="E28" s="30"/>
      <c r="F28" s="30"/>
      <c r="G28" s="30">
        <v>1</v>
      </c>
      <c r="H28" s="30"/>
    </row>
    <row r="29" spans="2:8" x14ac:dyDescent="0.25">
      <c r="B29" s="30">
        <v>25</v>
      </c>
      <c r="C29" s="22">
        <v>409</v>
      </c>
      <c r="D29" s="30">
        <v>1</v>
      </c>
      <c r="E29" s="30"/>
      <c r="F29" s="30"/>
      <c r="G29" s="30"/>
      <c r="H29" s="30"/>
    </row>
    <row r="30" spans="2:8" x14ac:dyDescent="0.25">
      <c r="B30" s="30">
        <v>26</v>
      </c>
      <c r="C30" s="22">
        <v>412</v>
      </c>
      <c r="D30" s="30">
        <v>1</v>
      </c>
      <c r="E30" s="30"/>
      <c r="F30" s="30"/>
      <c r="G30" s="30"/>
      <c r="H30" s="30"/>
    </row>
    <row r="31" spans="2:8" x14ac:dyDescent="0.25">
      <c r="B31" s="30">
        <v>27</v>
      </c>
      <c r="C31" s="22">
        <v>501</v>
      </c>
      <c r="D31" s="30">
        <v>1</v>
      </c>
      <c r="E31" s="30"/>
      <c r="F31" s="30"/>
      <c r="G31" s="30"/>
      <c r="H31" s="30"/>
    </row>
    <row r="32" spans="2:8" x14ac:dyDescent="0.25">
      <c r="B32" s="30">
        <v>28</v>
      </c>
      <c r="C32" s="22">
        <v>502</v>
      </c>
      <c r="D32" s="30">
        <v>1</v>
      </c>
      <c r="E32" s="30"/>
      <c r="F32" s="30"/>
      <c r="G32" s="30"/>
      <c r="H32" s="30"/>
    </row>
    <row r="33" spans="2:8" x14ac:dyDescent="0.25">
      <c r="B33" s="30">
        <v>29</v>
      </c>
      <c r="C33" s="22">
        <v>503</v>
      </c>
      <c r="D33" s="30"/>
      <c r="E33" s="30">
        <v>1</v>
      </c>
      <c r="F33" s="30"/>
      <c r="G33" s="30"/>
      <c r="H33" s="30"/>
    </row>
    <row r="34" spans="2:8" x14ac:dyDescent="0.25">
      <c r="B34" s="30">
        <v>30</v>
      </c>
      <c r="C34" s="22">
        <v>501</v>
      </c>
      <c r="D34" s="30">
        <v>1</v>
      </c>
      <c r="E34" s="30"/>
      <c r="F34" s="30"/>
      <c r="G34" s="30"/>
      <c r="H34" s="30"/>
    </row>
    <row r="35" spans="2:8" x14ac:dyDescent="0.25">
      <c r="B35" s="30">
        <v>31</v>
      </c>
      <c r="C35" s="22">
        <v>506</v>
      </c>
      <c r="D35" s="30">
        <v>1</v>
      </c>
      <c r="E35" s="30"/>
      <c r="F35" s="30">
        <v>1</v>
      </c>
      <c r="G35" s="30"/>
      <c r="H35" s="30"/>
    </row>
    <row r="36" spans="2:8" x14ac:dyDescent="0.25">
      <c r="B36" s="30">
        <v>32</v>
      </c>
      <c r="C36" s="22">
        <v>507</v>
      </c>
      <c r="D36" s="30">
        <v>1</v>
      </c>
      <c r="E36" s="30"/>
      <c r="F36" s="30">
        <v>1</v>
      </c>
      <c r="G36" s="30"/>
      <c r="H36" s="30"/>
    </row>
    <row r="37" spans="2:8" x14ac:dyDescent="0.25">
      <c r="B37" s="30">
        <v>33</v>
      </c>
      <c r="C37" s="22">
        <v>508</v>
      </c>
      <c r="D37" s="30">
        <v>1</v>
      </c>
      <c r="E37" s="30"/>
      <c r="F37" s="30"/>
      <c r="G37" s="30"/>
      <c r="H37" s="30"/>
    </row>
    <row r="38" spans="2:8" x14ac:dyDescent="0.25">
      <c r="B38" s="30">
        <v>34</v>
      </c>
      <c r="C38" s="22">
        <v>509</v>
      </c>
      <c r="D38" s="30"/>
      <c r="E38" s="30">
        <v>1</v>
      </c>
      <c r="F38" s="30">
        <v>1</v>
      </c>
      <c r="G38" s="30"/>
      <c r="H38" s="30"/>
    </row>
    <row r="39" spans="2:8" x14ac:dyDescent="0.25">
      <c r="B39" s="30">
        <v>35</v>
      </c>
      <c r="C39" s="22">
        <v>510</v>
      </c>
      <c r="D39" s="30"/>
      <c r="E39" s="30">
        <v>1</v>
      </c>
      <c r="F39" s="30">
        <v>1</v>
      </c>
      <c r="G39" s="30"/>
      <c r="H39" s="30"/>
    </row>
    <row r="40" spans="2:8" x14ac:dyDescent="0.25">
      <c r="B40" s="30">
        <v>36</v>
      </c>
      <c r="C40" s="22">
        <v>511</v>
      </c>
      <c r="D40" s="30">
        <v>1</v>
      </c>
      <c r="E40" s="30">
        <v>1</v>
      </c>
      <c r="F40" s="30">
        <v>1</v>
      </c>
      <c r="G40" s="30"/>
      <c r="H40" s="30"/>
    </row>
    <row r="41" spans="2:8" x14ac:dyDescent="0.25">
      <c r="B41" s="30">
        <v>37</v>
      </c>
      <c r="C41" s="22">
        <v>512</v>
      </c>
      <c r="D41" s="30">
        <v>1</v>
      </c>
      <c r="E41" s="30">
        <v>1</v>
      </c>
      <c r="F41" s="30">
        <v>1</v>
      </c>
      <c r="G41" s="30"/>
      <c r="H41" s="30"/>
    </row>
    <row r="42" spans="2:8" x14ac:dyDescent="0.25">
      <c r="B42" s="30">
        <v>38</v>
      </c>
      <c r="C42" s="22">
        <v>601</v>
      </c>
      <c r="D42" s="30">
        <v>1</v>
      </c>
      <c r="E42" s="30"/>
      <c r="F42" s="30"/>
      <c r="G42" s="30"/>
      <c r="H42" s="30"/>
    </row>
    <row r="43" spans="2:8" x14ac:dyDescent="0.25">
      <c r="B43" s="30">
        <v>39</v>
      </c>
      <c r="C43" s="22">
        <v>602</v>
      </c>
      <c r="D43" s="30">
        <v>1</v>
      </c>
      <c r="E43" s="30">
        <v>1</v>
      </c>
      <c r="F43" s="30"/>
      <c r="G43" s="30">
        <v>1</v>
      </c>
      <c r="H43" s="30"/>
    </row>
    <row r="44" spans="2:8" x14ac:dyDescent="0.25">
      <c r="B44" s="30">
        <v>40</v>
      </c>
      <c r="C44" s="22">
        <v>607</v>
      </c>
      <c r="D44" s="30"/>
      <c r="E44" s="30">
        <v>1</v>
      </c>
      <c r="F44" s="30"/>
      <c r="G44" s="30"/>
      <c r="H44" s="30"/>
    </row>
    <row r="45" spans="2:8" x14ac:dyDescent="0.25">
      <c r="B45" s="30">
        <v>41</v>
      </c>
      <c r="C45" s="22">
        <v>609</v>
      </c>
      <c r="D45" s="30"/>
      <c r="E45" s="30">
        <v>1</v>
      </c>
      <c r="F45" s="30">
        <v>1</v>
      </c>
      <c r="G45" s="30"/>
      <c r="H45" s="30"/>
    </row>
    <row r="46" spans="2:8" x14ac:dyDescent="0.25">
      <c r="B46" s="30">
        <v>42</v>
      </c>
      <c r="C46" s="22">
        <v>610</v>
      </c>
      <c r="D46" s="30"/>
      <c r="E46" s="30">
        <v>1</v>
      </c>
      <c r="F46" s="30">
        <v>1</v>
      </c>
      <c r="G46" s="30"/>
      <c r="H46" s="30"/>
    </row>
    <row r="47" spans="2:8" x14ac:dyDescent="0.25">
      <c r="B47" s="30">
        <v>43</v>
      </c>
      <c r="C47" s="22">
        <v>611</v>
      </c>
      <c r="D47" s="30">
        <v>1</v>
      </c>
      <c r="E47" s="30">
        <v>1</v>
      </c>
      <c r="F47" s="30">
        <v>1</v>
      </c>
      <c r="G47" s="30"/>
      <c r="H47" s="30"/>
    </row>
    <row r="48" spans="2:8" x14ac:dyDescent="0.25">
      <c r="B48" s="30">
        <v>44</v>
      </c>
      <c r="C48" s="22">
        <v>612</v>
      </c>
      <c r="D48" s="30">
        <v>1</v>
      </c>
      <c r="E48" s="30">
        <v>1</v>
      </c>
      <c r="F48" s="30">
        <v>1</v>
      </c>
      <c r="G48" s="30"/>
      <c r="H48" s="30"/>
    </row>
    <row r="49" spans="2:8" x14ac:dyDescent="0.25">
      <c r="B49" s="30">
        <v>45</v>
      </c>
      <c r="C49" s="22">
        <v>701</v>
      </c>
      <c r="D49" s="30">
        <v>1</v>
      </c>
      <c r="E49" s="30"/>
      <c r="F49" s="30"/>
      <c r="G49" s="30"/>
      <c r="H49" s="30"/>
    </row>
    <row r="50" spans="2:8" x14ac:dyDescent="0.25">
      <c r="B50" s="30">
        <v>46</v>
      </c>
      <c r="C50" s="22">
        <v>702</v>
      </c>
      <c r="D50" s="30">
        <v>1</v>
      </c>
      <c r="E50" s="30"/>
      <c r="F50" s="30"/>
      <c r="G50" s="30"/>
      <c r="H50" s="30"/>
    </row>
    <row r="51" spans="2:8" x14ac:dyDescent="0.25">
      <c r="B51" s="30">
        <v>47</v>
      </c>
      <c r="C51" s="22">
        <v>703</v>
      </c>
      <c r="D51" s="30">
        <v>1</v>
      </c>
      <c r="E51" s="30"/>
      <c r="F51" s="30"/>
      <c r="G51" s="30"/>
      <c r="H51" s="30"/>
    </row>
    <row r="52" spans="2:8" x14ac:dyDescent="0.25">
      <c r="B52" s="30">
        <v>48</v>
      </c>
      <c r="C52" s="22">
        <v>704</v>
      </c>
      <c r="D52" s="30">
        <v>1</v>
      </c>
      <c r="E52" s="30"/>
      <c r="F52" s="30"/>
      <c r="G52" s="30"/>
      <c r="H52" s="30"/>
    </row>
    <row r="53" spans="2:8" x14ac:dyDescent="0.25">
      <c r="B53" s="30">
        <v>49</v>
      </c>
      <c r="C53" s="22">
        <v>708</v>
      </c>
      <c r="D53" s="30">
        <v>1</v>
      </c>
      <c r="E53" s="30">
        <v>1</v>
      </c>
      <c r="F53" s="30">
        <v>1</v>
      </c>
      <c r="G53" s="30">
        <v>1</v>
      </c>
      <c r="H53" s="30">
        <v>1</v>
      </c>
    </row>
    <row r="54" spans="2:8" x14ac:dyDescent="0.25">
      <c r="B54" s="30">
        <v>50</v>
      </c>
      <c r="C54" s="22">
        <v>709</v>
      </c>
      <c r="D54" s="30"/>
      <c r="E54" s="30">
        <v>1</v>
      </c>
      <c r="F54" s="30">
        <v>1</v>
      </c>
      <c r="G54" s="30"/>
      <c r="H54" s="30"/>
    </row>
    <row r="55" spans="2:8" x14ac:dyDescent="0.25">
      <c r="B55" s="30">
        <v>51</v>
      </c>
      <c r="C55" s="22">
        <v>710</v>
      </c>
      <c r="D55" s="30">
        <v>1</v>
      </c>
      <c r="E55" s="30">
        <v>1</v>
      </c>
      <c r="F55" s="30">
        <v>1</v>
      </c>
      <c r="G55" s="30">
        <v>1</v>
      </c>
      <c r="H55" s="30">
        <v>1</v>
      </c>
    </row>
    <row r="56" spans="2:8" x14ac:dyDescent="0.25">
      <c r="B56" s="30">
        <v>52</v>
      </c>
      <c r="C56" s="22">
        <v>711</v>
      </c>
      <c r="D56" s="30">
        <v>1</v>
      </c>
      <c r="E56" s="30">
        <v>1</v>
      </c>
      <c r="F56" s="30">
        <v>1</v>
      </c>
      <c r="G56" s="30"/>
      <c r="H56" s="30"/>
    </row>
    <row r="57" spans="2:8" x14ac:dyDescent="0.25">
      <c r="B57" s="30">
        <v>53</v>
      </c>
      <c r="C57" s="22">
        <v>801</v>
      </c>
      <c r="D57" s="30">
        <v>1</v>
      </c>
      <c r="E57" s="30"/>
      <c r="F57" s="30"/>
      <c r="G57" s="30"/>
      <c r="H57" s="30"/>
    </row>
    <row r="58" spans="2:8" x14ac:dyDescent="0.25">
      <c r="B58" s="30">
        <v>54</v>
      </c>
      <c r="C58" s="22">
        <v>802</v>
      </c>
      <c r="D58" s="30">
        <v>1</v>
      </c>
      <c r="E58" s="30"/>
      <c r="F58" s="30"/>
      <c r="G58" s="30"/>
      <c r="H58" s="30"/>
    </row>
    <row r="59" spans="2:8" x14ac:dyDescent="0.25">
      <c r="B59" s="30">
        <v>55</v>
      </c>
      <c r="C59" s="22">
        <v>805</v>
      </c>
      <c r="D59" s="30">
        <v>1</v>
      </c>
      <c r="E59" s="30"/>
      <c r="F59" s="30"/>
      <c r="G59" s="30"/>
      <c r="H59" s="30"/>
    </row>
    <row r="60" spans="2:8" x14ac:dyDescent="0.25">
      <c r="B60" s="30">
        <v>56</v>
      </c>
      <c r="C60" s="22">
        <v>808</v>
      </c>
      <c r="D60" s="30">
        <v>1</v>
      </c>
      <c r="E60" s="30"/>
      <c r="F60" s="30"/>
      <c r="G60" s="30"/>
      <c r="H60" s="30"/>
    </row>
    <row r="61" spans="2:8" x14ac:dyDescent="0.25">
      <c r="B61" s="30">
        <v>57</v>
      </c>
      <c r="C61" s="22">
        <v>809</v>
      </c>
      <c r="D61" s="30"/>
      <c r="E61" s="30">
        <v>1</v>
      </c>
      <c r="F61" s="30">
        <v>1</v>
      </c>
      <c r="G61" s="30">
        <v>1</v>
      </c>
      <c r="H61" s="30"/>
    </row>
    <row r="62" spans="2:8" x14ac:dyDescent="0.25">
      <c r="B62" s="30">
        <v>58</v>
      </c>
      <c r="C62" s="22">
        <v>810</v>
      </c>
      <c r="D62" s="30"/>
      <c r="E62" s="30">
        <v>1</v>
      </c>
      <c r="F62" s="30">
        <v>1</v>
      </c>
      <c r="G62" s="30"/>
      <c r="H62" s="30"/>
    </row>
    <row r="63" spans="2:8" x14ac:dyDescent="0.25">
      <c r="B63" s="30">
        <v>59</v>
      </c>
      <c r="C63" s="22">
        <v>811</v>
      </c>
      <c r="D63" s="30">
        <v>1</v>
      </c>
      <c r="E63" s="30">
        <v>1</v>
      </c>
      <c r="F63" s="30">
        <v>1</v>
      </c>
      <c r="G63" s="30"/>
      <c r="H63" s="30"/>
    </row>
    <row r="64" spans="2:8" x14ac:dyDescent="0.25">
      <c r="B64" s="30">
        <v>60</v>
      </c>
      <c r="C64" s="22">
        <v>812</v>
      </c>
      <c r="D64" s="30">
        <v>1</v>
      </c>
      <c r="E64" s="30">
        <v>1</v>
      </c>
      <c r="F64" s="30">
        <v>1</v>
      </c>
      <c r="G64" s="30"/>
      <c r="H64" s="30"/>
    </row>
    <row r="65" spans="2:8" x14ac:dyDescent="0.25">
      <c r="B65" s="30">
        <v>61</v>
      </c>
      <c r="C65" s="22">
        <v>901</v>
      </c>
      <c r="D65" s="30">
        <v>1</v>
      </c>
      <c r="E65" s="30"/>
      <c r="F65" s="30"/>
      <c r="G65" s="30"/>
      <c r="H65" s="30"/>
    </row>
    <row r="66" spans="2:8" x14ac:dyDescent="0.25">
      <c r="B66" s="30">
        <v>62</v>
      </c>
      <c r="C66" s="22">
        <v>902</v>
      </c>
      <c r="D66" s="30">
        <v>1</v>
      </c>
      <c r="E66" s="30"/>
      <c r="F66" s="30"/>
      <c r="G66" s="30"/>
      <c r="H66" s="30"/>
    </row>
    <row r="67" spans="2:8" x14ac:dyDescent="0.25">
      <c r="B67" s="30">
        <v>63</v>
      </c>
      <c r="C67" s="22">
        <v>909</v>
      </c>
      <c r="D67" s="30"/>
      <c r="E67" s="30">
        <v>1</v>
      </c>
      <c r="F67" s="30">
        <v>1</v>
      </c>
      <c r="G67" s="30"/>
      <c r="H67" s="30"/>
    </row>
    <row r="68" spans="2:8" x14ac:dyDescent="0.25">
      <c r="B68" s="30">
        <v>64</v>
      </c>
      <c r="C68" s="22">
        <v>910</v>
      </c>
      <c r="D68" s="30"/>
      <c r="E68" s="30">
        <v>1</v>
      </c>
      <c r="F68" s="30">
        <v>1</v>
      </c>
      <c r="G68" s="30"/>
      <c r="H68" s="30"/>
    </row>
    <row r="69" spans="2:8" x14ac:dyDescent="0.25">
      <c r="B69" s="30">
        <v>65</v>
      </c>
      <c r="C69" s="22">
        <v>911</v>
      </c>
      <c r="D69" s="30">
        <v>1</v>
      </c>
      <c r="E69" s="30">
        <v>1</v>
      </c>
      <c r="F69" s="30">
        <v>1</v>
      </c>
      <c r="G69" s="30"/>
      <c r="H69" s="30"/>
    </row>
    <row r="70" spans="2:8" x14ac:dyDescent="0.25">
      <c r="B70" s="30">
        <v>66</v>
      </c>
      <c r="C70" s="22">
        <v>912</v>
      </c>
      <c r="D70" s="30">
        <v>1</v>
      </c>
      <c r="E70" s="30">
        <v>1</v>
      </c>
      <c r="F70" s="30">
        <v>1</v>
      </c>
      <c r="G70" s="30">
        <v>1</v>
      </c>
      <c r="H70" s="30"/>
    </row>
    <row r="71" spans="2:8" x14ac:dyDescent="0.25">
      <c r="B71" s="30">
        <v>67</v>
      </c>
      <c r="C71" s="22">
        <v>1001</v>
      </c>
      <c r="D71" s="30">
        <v>1</v>
      </c>
      <c r="E71" s="30"/>
      <c r="F71" s="30"/>
      <c r="G71" s="30"/>
      <c r="H71" s="30"/>
    </row>
    <row r="72" spans="2:8" x14ac:dyDescent="0.25">
      <c r="B72" s="30">
        <v>68</v>
      </c>
      <c r="C72" s="22">
        <v>1002</v>
      </c>
      <c r="D72" s="30">
        <v>1</v>
      </c>
      <c r="E72" s="30"/>
      <c r="F72" s="30"/>
      <c r="G72" s="30"/>
      <c r="H72" s="30"/>
    </row>
    <row r="73" spans="2:8" x14ac:dyDescent="0.25">
      <c r="B73" s="30">
        <v>69</v>
      </c>
      <c r="C73" s="22">
        <v>1003</v>
      </c>
      <c r="D73" s="30">
        <v>1</v>
      </c>
      <c r="E73" s="30"/>
      <c r="F73" s="30"/>
      <c r="G73" s="30"/>
      <c r="H73" s="30"/>
    </row>
    <row r="74" spans="2:8" x14ac:dyDescent="0.25">
      <c r="B74" s="30">
        <v>70</v>
      </c>
      <c r="C74" s="22">
        <v>1004</v>
      </c>
      <c r="D74" s="30">
        <v>1</v>
      </c>
      <c r="E74" s="30"/>
      <c r="F74" s="30"/>
      <c r="G74" s="30"/>
      <c r="H74" s="30"/>
    </row>
    <row r="75" spans="2:8" x14ac:dyDescent="0.25">
      <c r="B75" s="30">
        <v>71</v>
      </c>
      <c r="C75" s="22">
        <v>1005</v>
      </c>
      <c r="D75" s="30">
        <v>1</v>
      </c>
      <c r="E75" s="30"/>
      <c r="F75" s="30"/>
      <c r="G75" s="30"/>
      <c r="H75" s="30"/>
    </row>
    <row r="76" spans="2:8" x14ac:dyDescent="0.25">
      <c r="B76" s="30">
        <v>72</v>
      </c>
      <c r="C76" s="22">
        <v>1006</v>
      </c>
      <c r="D76" s="30">
        <v>1</v>
      </c>
      <c r="E76" s="30"/>
      <c r="F76" s="30"/>
      <c r="G76" s="30"/>
      <c r="H76" s="30"/>
    </row>
    <row r="77" spans="2:8" x14ac:dyDescent="0.25">
      <c r="B77" s="30">
        <v>73</v>
      </c>
      <c r="C77" s="22">
        <v>1007</v>
      </c>
      <c r="D77" s="30">
        <v>1</v>
      </c>
      <c r="E77" s="30"/>
      <c r="F77" s="30"/>
      <c r="G77" s="30"/>
      <c r="H77" s="30"/>
    </row>
    <row r="78" spans="2:8" x14ac:dyDescent="0.25">
      <c r="B78" s="30">
        <v>74</v>
      </c>
      <c r="C78" s="22">
        <v>1008</v>
      </c>
      <c r="D78" s="30">
        <v>1</v>
      </c>
      <c r="E78" s="30"/>
      <c r="F78" s="30"/>
      <c r="G78" s="30"/>
      <c r="H78" s="30"/>
    </row>
    <row r="79" spans="2:8" x14ac:dyDescent="0.25">
      <c r="B79" s="30">
        <v>75</v>
      </c>
      <c r="C79" s="22">
        <v>1009</v>
      </c>
      <c r="D79" s="30">
        <v>1</v>
      </c>
      <c r="E79" s="30">
        <v>1</v>
      </c>
      <c r="F79" s="30">
        <v>1</v>
      </c>
      <c r="G79" s="30"/>
      <c r="H79" s="30"/>
    </row>
    <row r="80" spans="2:8" x14ac:dyDescent="0.25">
      <c r="B80" s="30">
        <v>76</v>
      </c>
      <c r="C80" s="22">
        <v>1010</v>
      </c>
      <c r="D80" s="30">
        <v>1</v>
      </c>
      <c r="E80" s="30">
        <v>1</v>
      </c>
      <c r="F80" s="30">
        <v>1</v>
      </c>
      <c r="G80" s="30"/>
      <c r="H80" s="30"/>
    </row>
    <row r="81" spans="2:8" x14ac:dyDescent="0.25">
      <c r="B81" s="30">
        <v>77</v>
      </c>
      <c r="C81" s="22">
        <v>1011</v>
      </c>
      <c r="D81" s="30">
        <v>1</v>
      </c>
      <c r="E81" s="30">
        <v>1</v>
      </c>
      <c r="F81" s="30">
        <v>1</v>
      </c>
      <c r="G81" s="30"/>
      <c r="H81" s="30"/>
    </row>
    <row r="82" spans="2:8" x14ac:dyDescent="0.25">
      <c r="B82" s="30">
        <v>78</v>
      </c>
      <c r="C82" s="22">
        <v>1012</v>
      </c>
      <c r="D82" s="30">
        <v>1</v>
      </c>
      <c r="E82" s="30">
        <v>1</v>
      </c>
      <c r="F82" s="30">
        <v>1</v>
      </c>
      <c r="G82" s="30"/>
      <c r="H82" s="30"/>
    </row>
    <row r="83" spans="2:8" x14ac:dyDescent="0.25">
      <c r="B83" s="30">
        <v>79</v>
      </c>
      <c r="C83" s="22">
        <v>1101</v>
      </c>
      <c r="D83" s="30">
        <v>1</v>
      </c>
      <c r="E83" s="30"/>
      <c r="F83" s="30"/>
      <c r="G83" s="30"/>
      <c r="H83" s="30"/>
    </row>
    <row r="84" spans="2:8" x14ac:dyDescent="0.25">
      <c r="B84" s="30">
        <v>80</v>
      </c>
      <c r="C84" s="22">
        <v>1102</v>
      </c>
      <c r="D84" s="30">
        <v>1</v>
      </c>
      <c r="E84" s="30"/>
      <c r="F84" s="30"/>
      <c r="G84" s="30"/>
      <c r="H84" s="30"/>
    </row>
    <row r="85" spans="2:8" x14ac:dyDescent="0.25">
      <c r="B85" s="30">
        <v>81</v>
      </c>
      <c r="C85" s="22">
        <v>1107</v>
      </c>
      <c r="D85" s="30"/>
      <c r="E85" s="30"/>
      <c r="F85" s="30">
        <v>1</v>
      </c>
      <c r="G85" s="30"/>
      <c r="H85" s="30"/>
    </row>
    <row r="86" spans="2:8" x14ac:dyDescent="0.25">
      <c r="B86" s="30">
        <v>82</v>
      </c>
      <c r="C86" s="22">
        <v>1109</v>
      </c>
      <c r="D86" s="30"/>
      <c r="E86" s="30">
        <v>1</v>
      </c>
      <c r="F86" s="30">
        <v>1</v>
      </c>
      <c r="G86" s="30"/>
      <c r="H86" s="30"/>
    </row>
    <row r="87" spans="2:8" x14ac:dyDescent="0.25">
      <c r="B87" s="30">
        <v>83</v>
      </c>
      <c r="C87" s="22">
        <v>1110</v>
      </c>
      <c r="D87" s="30">
        <v>1</v>
      </c>
      <c r="E87" s="30">
        <v>1</v>
      </c>
      <c r="F87" s="30">
        <v>1</v>
      </c>
      <c r="G87" s="30">
        <v>1</v>
      </c>
      <c r="H87" s="30">
        <v>1</v>
      </c>
    </row>
    <row r="88" spans="2:8" x14ac:dyDescent="0.25">
      <c r="B88" s="30">
        <v>84</v>
      </c>
      <c r="C88" s="22">
        <v>1111</v>
      </c>
      <c r="D88" s="30">
        <v>1</v>
      </c>
      <c r="E88" s="30">
        <v>1</v>
      </c>
      <c r="F88" s="30">
        <v>1</v>
      </c>
      <c r="G88" s="30"/>
      <c r="H88" s="30"/>
    </row>
    <row r="89" spans="2:8" x14ac:dyDescent="0.25">
      <c r="B89" s="30">
        <v>85</v>
      </c>
      <c r="C89" s="22">
        <v>1112</v>
      </c>
      <c r="D89" s="30">
        <v>1</v>
      </c>
      <c r="E89" s="30">
        <v>1</v>
      </c>
      <c r="F89" s="30">
        <v>1</v>
      </c>
      <c r="G89" s="30"/>
      <c r="H89" s="30"/>
    </row>
    <row r="90" spans="2:8" x14ac:dyDescent="0.25">
      <c r="B90" s="30">
        <v>86</v>
      </c>
      <c r="C90" s="22">
        <v>1201</v>
      </c>
      <c r="D90" s="30">
        <v>1</v>
      </c>
      <c r="E90" s="30"/>
      <c r="F90" s="30"/>
      <c r="G90" s="30"/>
      <c r="H90" s="30"/>
    </row>
    <row r="91" spans="2:8" x14ac:dyDescent="0.25">
      <c r="B91" s="30">
        <v>87</v>
      </c>
      <c r="C91" s="22">
        <v>1202</v>
      </c>
      <c r="D91" s="30">
        <v>1</v>
      </c>
      <c r="E91" s="30"/>
      <c r="F91" s="30"/>
      <c r="G91" s="30"/>
      <c r="H91" s="30"/>
    </row>
    <row r="92" spans="2:8" x14ac:dyDescent="0.25">
      <c r="B92" s="30">
        <v>88</v>
      </c>
      <c r="C92" s="22">
        <v>1209</v>
      </c>
      <c r="D92" s="30"/>
      <c r="E92" s="30">
        <v>1</v>
      </c>
      <c r="F92" s="30">
        <v>1</v>
      </c>
      <c r="G92" s="30"/>
      <c r="H92" s="30"/>
    </row>
    <row r="93" spans="2:8" x14ac:dyDescent="0.25">
      <c r="B93" s="30">
        <v>89</v>
      </c>
      <c r="C93" s="22">
        <v>1210</v>
      </c>
      <c r="D93" s="30">
        <v>1</v>
      </c>
      <c r="E93" s="30">
        <v>1</v>
      </c>
      <c r="F93" s="30">
        <v>1</v>
      </c>
      <c r="G93" s="30">
        <v>1</v>
      </c>
      <c r="H93" s="30">
        <v>1</v>
      </c>
    </row>
    <row r="94" spans="2:8" x14ac:dyDescent="0.25">
      <c r="B94" s="30">
        <v>90</v>
      </c>
      <c r="C94" s="22">
        <v>1211</v>
      </c>
      <c r="D94" s="30">
        <v>1</v>
      </c>
      <c r="E94" s="30">
        <v>1</v>
      </c>
      <c r="F94" s="30">
        <v>1</v>
      </c>
      <c r="G94" s="30"/>
      <c r="H94" s="30"/>
    </row>
    <row r="95" spans="2:8" x14ac:dyDescent="0.25">
      <c r="B95" s="30">
        <v>91</v>
      </c>
      <c r="C95" s="22">
        <v>1301</v>
      </c>
      <c r="D95" s="30">
        <v>1</v>
      </c>
      <c r="E95" s="30"/>
      <c r="F95" s="30"/>
      <c r="G95" s="30"/>
      <c r="H95" s="30"/>
    </row>
    <row r="96" spans="2:8" x14ac:dyDescent="0.25">
      <c r="B96" s="30">
        <v>92</v>
      </c>
      <c r="C96" s="22">
        <v>1302</v>
      </c>
      <c r="D96" s="30">
        <v>1</v>
      </c>
      <c r="E96" s="30"/>
      <c r="F96" s="30"/>
      <c r="G96" s="30"/>
      <c r="H96" s="30"/>
    </row>
    <row r="97" spans="2:8" x14ac:dyDescent="0.25">
      <c r="B97" s="30">
        <v>93</v>
      </c>
      <c r="C97" s="22">
        <v>1305</v>
      </c>
      <c r="D97" s="30">
        <v>1</v>
      </c>
      <c r="E97" s="30"/>
      <c r="F97" s="30"/>
      <c r="G97" s="30"/>
      <c r="H97" s="30"/>
    </row>
    <row r="98" spans="2:8" x14ac:dyDescent="0.25">
      <c r="B98" s="30">
        <v>94</v>
      </c>
      <c r="C98" s="22">
        <v>1309</v>
      </c>
      <c r="D98" s="30"/>
      <c r="E98" s="30">
        <v>1</v>
      </c>
      <c r="F98" s="30">
        <v>1</v>
      </c>
      <c r="G98" s="30"/>
      <c r="H98" s="30"/>
    </row>
    <row r="99" spans="2:8" x14ac:dyDescent="0.25">
      <c r="B99" s="30">
        <v>95</v>
      </c>
      <c r="C99" s="22">
        <v>1310</v>
      </c>
      <c r="D99" s="30"/>
      <c r="E99" s="30">
        <v>1</v>
      </c>
      <c r="F99" s="30">
        <v>1</v>
      </c>
      <c r="G99" s="30"/>
      <c r="H99" s="30"/>
    </row>
    <row r="100" spans="2:8" x14ac:dyDescent="0.25">
      <c r="B100" s="30">
        <v>96</v>
      </c>
      <c r="C100" s="22">
        <v>1311</v>
      </c>
      <c r="D100" s="30">
        <v>1</v>
      </c>
      <c r="E100" s="30">
        <v>1</v>
      </c>
      <c r="F100" s="30">
        <v>1</v>
      </c>
      <c r="G100" s="30"/>
      <c r="H100" s="30"/>
    </row>
    <row r="101" spans="2:8" x14ac:dyDescent="0.25">
      <c r="B101" s="30">
        <v>97</v>
      </c>
      <c r="C101" s="22">
        <v>1312</v>
      </c>
      <c r="D101" s="30">
        <v>1</v>
      </c>
      <c r="E101" s="30">
        <v>1</v>
      </c>
      <c r="F101" s="30">
        <v>1</v>
      </c>
      <c r="G101" s="30"/>
      <c r="H101" s="30"/>
    </row>
    <row r="102" spans="2:8" x14ac:dyDescent="0.25">
      <c r="B102" s="30">
        <v>98</v>
      </c>
      <c r="C102" s="22">
        <v>1401</v>
      </c>
      <c r="D102" s="30">
        <v>1</v>
      </c>
      <c r="E102" s="30">
        <v>1</v>
      </c>
      <c r="F102" s="30">
        <v>1</v>
      </c>
      <c r="G102" s="30">
        <v>1</v>
      </c>
      <c r="H102" s="30">
        <v>1</v>
      </c>
    </row>
    <row r="103" spans="2:8" x14ac:dyDescent="0.25">
      <c r="B103" s="30">
        <v>99</v>
      </c>
      <c r="C103" s="22">
        <v>1402</v>
      </c>
      <c r="D103" s="30">
        <v>1</v>
      </c>
      <c r="E103" s="30">
        <v>1</v>
      </c>
      <c r="F103" s="30">
        <v>1</v>
      </c>
      <c r="G103" s="30">
        <v>1</v>
      </c>
      <c r="H103" s="30">
        <v>1</v>
      </c>
    </row>
    <row r="104" spans="2:8" x14ac:dyDescent="0.25">
      <c r="B104" s="30">
        <v>100</v>
      </c>
      <c r="C104" s="22">
        <v>1403</v>
      </c>
      <c r="D104" s="30">
        <v>1</v>
      </c>
      <c r="E104" s="30">
        <v>1</v>
      </c>
      <c r="F104" s="30">
        <v>1</v>
      </c>
      <c r="G104" s="30">
        <v>1</v>
      </c>
      <c r="H104" s="30">
        <v>1</v>
      </c>
    </row>
    <row r="105" spans="2:8" x14ac:dyDescent="0.25">
      <c r="B105" s="30">
        <v>101</v>
      </c>
      <c r="C105" s="22">
        <v>1404</v>
      </c>
      <c r="D105" s="30">
        <v>1</v>
      </c>
      <c r="E105" s="30">
        <v>1</v>
      </c>
      <c r="F105" s="30">
        <v>1</v>
      </c>
      <c r="G105" s="30">
        <v>1</v>
      </c>
      <c r="H105" s="30">
        <v>1</v>
      </c>
    </row>
    <row r="106" spans="2:8" x14ac:dyDescent="0.25">
      <c r="B106" s="30">
        <v>102</v>
      </c>
      <c r="C106" s="22">
        <v>1405</v>
      </c>
      <c r="D106" s="30">
        <v>1</v>
      </c>
      <c r="E106" s="30">
        <v>1</v>
      </c>
      <c r="F106" s="30">
        <v>1</v>
      </c>
      <c r="G106" s="30">
        <v>1</v>
      </c>
      <c r="H106" s="30">
        <v>1</v>
      </c>
    </row>
    <row r="107" spans="2:8" x14ac:dyDescent="0.25">
      <c r="B107" s="30">
        <v>103</v>
      </c>
      <c r="C107" s="22">
        <v>1406</v>
      </c>
      <c r="D107" s="30">
        <v>1</v>
      </c>
      <c r="E107" s="30">
        <v>1</v>
      </c>
      <c r="F107" s="30">
        <v>1</v>
      </c>
      <c r="G107" s="30"/>
      <c r="H107" s="30"/>
    </row>
    <row r="108" spans="2:8" x14ac:dyDescent="0.25">
      <c r="B108" s="30">
        <v>104</v>
      </c>
      <c r="C108" s="22">
        <v>1407</v>
      </c>
      <c r="D108" s="30">
        <v>1</v>
      </c>
      <c r="E108" s="30">
        <v>1</v>
      </c>
      <c r="F108" s="30">
        <v>1</v>
      </c>
      <c r="G108" s="30"/>
      <c r="H108" s="30"/>
    </row>
    <row r="109" spans="2:8" x14ac:dyDescent="0.25">
      <c r="B109" s="30">
        <v>105</v>
      </c>
      <c r="C109" s="22">
        <v>1408</v>
      </c>
      <c r="D109" s="30">
        <v>1</v>
      </c>
      <c r="E109" s="30">
        <v>1</v>
      </c>
      <c r="F109" s="30">
        <v>1</v>
      </c>
      <c r="G109" s="30"/>
      <c r="H109" s="30"/>
    </row>
    <row r="110" spans="2:8" x14ac:dyDescent="0.25">
      <c r="B110" s="30">
        <v>106</v>
      </c>
      <c r="C110" s="22">
        <v>1409</v>
      </c>
      <c r="D110" s="30">
        <v>1</v>
      </c>
      <c r="E110" s="30">
        <v>1</v>
      </c>
      <c r="F110" s="30">
        <v>1</v>
      </c>
      <c r="G110" s="30"/>
      <c r="H110" s="30"/>
    </row>
    <row r="111" spans="2:8" x14ac:dyDescent="0.25">
      <c r="B111" s="30">
        <v>107</v>
      </c>
      <c r="C111" s="22">
        <v>1410</v>
      </c>
      <c r="D111" s="30">
        <v>1</v>
      </c>
      <c r="E111" s="30">
        <v>1</v>
      </c>
      <c r="F111" s="30">
        <v>1</v>
      </c>
      <c r="G111" s="30"/>
      <c r="H111" s="30"/>
    </row>
    <row r="112" spans="2:8" x14ac:dyDescent="0.25">
      <c r="B112" s="30">
        <v>108</v>
      </c>
      <c r="C112" s="22">
        <v>1411</v>
      </c>
      <c r="D112" s="30">
        <v>1</v>
      </c>
      <c r="E112" s="30">
        <v>1</v>
      </c>
      <c r="F112" s="30">
        <v>1</v>
      </c>
      <c r="G112" s="30"/>
      <c r="H112" s="30"/>
    </row>
    <row r="113" spans="2:8" x14ac:dyDescent="0.25">
      <c r="B113" s="30">
        <v>109</v>
      </c>
      <c r="C113" s="22">
        <v>1412</v>
      </c>
      <c r="D113" s="30">
        <v>1</v>
      </c>
      <c r="E113" s="30">
        <v>1</v>
      </c>
      <c r="F113" s="30">
        <v>1</v>
      </c>
      <c r="G113" s="30"/>
      <c r="H113" s="30"/>
    </row>
    <row r="114" spans="2:8" x14ac:dyDescent="0.25">
      <c r="B114" s="30">
        <v>110</v>
      </c>
      <c r="C114" s="22">
        <v>1501</v>
      </c>
      <c r="D114" s="30">
        <v>1</v>
      </c>
      <c r="E114" s="30">
        <v>1</v>
      </c>
      <c r="F114" s="30">
        <v>1</v>
      </c>
      <c r="G114" s="30"/>
      <c r="H114" s="30"/>
    </row>
    <row r="115" spans="2:8" x14ac:dyDescent="0.25">
      <c r="B115" s="30">
        <v>111</v>
      </c>
      <c r="C115" s="22">
        <v>1502</v>
      </c>
      <c r="D115" s="30">
        <v>1</v>
      </c>
      <c r="E115" s="30">
        <v>1</v>
      </c>
      <c r="F115" s="30">
        <v>1</v>
      </c>
      <c r="G115" s="30"/>
      <c r="H115" s="30"/>
    </row>
    <row r="116" spans="2:8" x14ac:dyDescent="0.25">
      <c r="B116" s="30">
        <v>112</v>
      </c>
      <c r="C116" s="22">
        <v>1503</v>
      </c>
      <c r="D116" s="30">
        <v>1</v>
      </c>
      <c r="E116" s="30">
        <v>1</v>
      </c>
      <c r="F116" s="30">
        <v>1</v>
      </c>
      <c r="G116" s="30"/>
      <c r="H116" s="30"/>
    </row>
    <row r="117" spans="2:8" x14ac:dyDescent="0.25">
      <c r="B117" s="30">
        <v>113</v>
      </c>
      <c r="C117" s="22">
        <v>1504</v>
      </c>
      <c r="D117" s="30">
        <v>1</v>
      </c>
      <c r="E117" s="30">
        <v>1</v>
      </c>
      <c r="F117" s="30">
        <v>1</v>
      </c>
      <c r="G117" s="30"/>
      <c r="H117" s="30"/>
    </row>
    <row r="118" spans="2:8" x14ac:dyDescent="0.25">
      <c r="B118" s="30">
        <v>114</v>
      </c>
      <c r="C118" s="22">
        <v>1505</v>
      </c>
      <c r="D118" s="30">
        <v>1</v>
      </c>
      <c r="E118" s="30">
        <v>1</v>
      </c>
      <c r="F118" s="30">
        <v>1</v>
      </c>
      <c r="G118" s="30"/>
      <c r="H118" s="30"/>
    </row>
    <row r="119" spans="2:8" x14ac:dyDescent="0.25">
      <c r="B119" s="30">
        <v>115</v>
      </c>
      <c r="C119" s="22">
        <v>1506</v>
      </c>
      <c r="D119" s="30">
        <v>1</v>
      </c>
      <c r="E119" s="30">
        <v>1</v>
      </c>
      <c r="F119" s="30">
        <v>1</v>
      </c>
      <c r="G119" s="30"/>
      <c r="H119" s="30"/>
    </row>
    <row r="120" spans="2:8" x14ac:dyDescent="0.25">
      <c r="B120" s="30">
        <v>116</v>
      </c>
      <c r="C120" s="22">
        <v>1507</v>
      </c>
      <c r="D120" s="30">
        <v>1</v>
      </c>
      <c r="E120" s="30">
        <v>1</v>
      </c>
      <c r="F120" s="30">
        <v>1</v>
      </c>
      <c r="G120" s="30"/>
      <c r="H120" s="30"/>
    </row>
    <row r="121" spans="2:8" x14ac:dyDescent="0.25">
      <c r="B121" s="30">
        <v>117</v>
      </c>
      <c r="C121" s="22">
        <v>1508</v>
      </c>
      <c r="D121" s="30">
        <v>1</v>
      </c>
      <c r="E121" s="30">
        <v>1</v>
      </c>
      <c r="F121" s="30">
        <v>1</v>
      </c>
      <c r="G121" s="30"/>
      <c r="H121" s="30"/>
    </row>
    <row r="122" spans="2:8" x14ac:dyDescent="0.25">
      <c r="B122" s="30">
        <v>118</v>
      </c>
      <c r="C122" s="22">
        <v>1509</v>
      </c>
      <c r="D122" s="30">
        <v>1</v>
      </c>
      <c r="E122" s="30">
        <v>1</v>
      </c>
      <c r="F122" s="30">
        <v>1</v>
      </c>
      <c r="G122" s="30"/>
      <c r="H122" s="30"/>
    </row>
    <row r="123" spans="2:8" x14ac:dyDescent="0.25">
      <c r="B123" s="30">
        <v>119</v>
      </c>
      <c r="C123" s="22">
        <v>1510</v>
      </c>
      <c r="D123" s="30">
        <v>1</v>
      </c>
      <c r="E123" s="30">
        <v>1</v>
      </c>
      <c r="F123" s="30">
        <v>1</v>
      </c>
      <c r="G123" s="30"/>
      <c r="H123" s="30"/>
    </row>
    <row r="124" spans="2:8" x14ac:dyDescent="0.25">
      <c r="B124" s="30">
        <v>120</v>
      </c>
      <c r="C124" s="22">
        <v>1511</v>
      </c>
      <c r="D124" s="30">
        <v>1</v>
      </c>
      <c r="E124" s="30">
        <v>1</v>
      </c>
      <c r="F124" s="30">
        <v>1</v>
      </c>
      <c r="G124" s="30"/>
      <c r="H124" s="30"/>
    </row>
    <row r="125" spans="2:8" x14ac:dyDescent="0.25">
      <c r="B125" s="30">
        <v>121</v>
      </c>
      <c r="C125" s="22">
        <v>1512</v>
      </c>
      <c r="D125" s="30">
        <v>1</v>
      </c>
      <c r="E125" s="30">
        <v>1</v>
      </c>
      <c r="F125" s="30">
        <v>1</v>
      </c>
      <c r="G125" s="30"/>
      <c r="H125" s="30"/>
    </row>
    <row r="126" spans="2:8" x14ac:dyDescent="0.25">
      <c r="B126" s="30">
        <v>122</v>
      </c>
      <c r="C126" s="22">
        <v>1601</v>
      </c>
      <c r="D126" s="30">
        <v>1</v>
      </c>
      <c r="E126" s="30">
        <v>1</v>
      </c>
      <c r="F126" s="30">
        <v>1</v>
      </c>
      <c r="G126" s="30"/>
      <c r="H126" s="30"/>
    </row>
    <row r="127" spans="2:8" x14ac:dyDescent="0.25">
      <c r="B127" s="30">
        <v>123</v>
      </c>
      <c r="C127" s="22">
        <v>1602</v>
      </c>
      <c r="D127" s="30">
        <v>1</v>
      </c>
      <c r="E127" s="30">
        <v>1</v>
      </c>
      <c r="F127" s="30">
        <v>1</v>
      </c>
      <c r="G127" s="30"/>
      <c r="H127" s="30"/>
    </row>
    <row r="128" spans="2:8" x14ac:dyDescent="0.25">
      <c r="B128" s="30">
        <v>124</v>
      </c>
      <c r="C128" s="22">
        <v>1603</v>
      </c>
      <c r="D128" s="30">
        <v>1</v>
      </c>
      <c r="E128" s="30">
        <v>1</v>
      </c>
      <c r="F128" s="30">
        <v>1</v>
      </c>
      <c r="G128" s="30"/>
      <c r="H128" s="30"/>
    </row>
    <row r="129" spans="2:8" x14ac:dyDescent="0.25">
      <c r="B129" s="30">
        <v>125</v>
      </c>
      <c r="C129" s="22">
        <v>1604</v>
      </c>
      <c r="D129" s="30">
        <v>1</v>
      </c>
      <c r="E129" s="30">
        <v>1</v>
      </c>
      <c r="F129" s="30">
        <v>1</v>
      </c>
      <c r="G129" s="30"/>
      <c r="H129" s="30"/>
    </row>
    <row r="130" spans="2:8" x14ac:dyDescent="0.25">
      <c r="B130" s="30">
        <v>126</v>
      </c>
      <c r="C130" s="22">
        <v>1605</v>
      </c>
      <c r="D130" s="30">
        <v>1</v>
      </c>
      <c r="E130" s="30">
        <v>1</v>
      </c>
      <c r="F130" s="30">
        <v>1</v>
      </c>
      <c r="G130" s="30"/>
      <c r="H130" s="30"/>
    </row>
    <row r="131" spans="2:8" x14ac:dyDescent="0.25">
      <c r="B131" s="30">
        <v>127</v>
      </c>
      <c r="C131" s="22">
        <v>1606</v>
      </c>
      <c r="D131" s="30">
        <v>1</v>
      </c>
      <c r="E131" s="30">
        <v>1</v>
      </c>
      <c r="F131" s="30">
        <v>1</v>
      </c>
      <c r="G131" s="30"/>
      <c r="H131" s="30"/>
    </row>
    <row r="132" spans="2:8" x14ac:dyDescent="0.25">
      <c r="B132" s="30">
        <v>128</v>
      </c>
      <c r="C132" s="22">
        <v>1607</v>
      </c>
      <c r="D132" s="30">
        <v>1</v>
      </c>
      <c r="E132" s="30">
        <v>1</v>
      </c>
      <c r="F132" s="30">
        <v>1</v>
      </c>
      <c r="G132" s="30"/>
      <c r="H132" s="30"/>
    </row>
    <row r="133" spans="2:8" x14ac:dyDescent="0.25">
      <c r="B133" s="30">
        <v>129</v>
      </c>
      <c r="C133" s="22">
        <v>1608</v>
      </c>
      <c r="D133" s="30">
        <v>1</v>
      </c>
      <c r="E133" s="30">
        <v>1</v>
      </c>
      <c r="F133" s="30">
        <v>1</v>
      </c>
      <c r="G133" s="30"/>
      <c r="H133" s="30"/>
    </row>
    <row r="134" spans="2:8" x14ac:dyDescent="0.25">
      <c r="B134" s="30">
        <v>130</v>
      </c>
      <c r="C134" s="22">
        <v>1609</v>
      </c>
      <c r="D134" s="30">
        <v>1</v>
      </c>
      <c r="E134" s="30">
        <v>1</v>
      </c>
      <c r="F134" s="30">
        <v>1</v>
      </c>
      <c r="G134" s="30"/>
      <c r="H134" s="30"/>
    </row>
    <row r="135" spans="2:8" x14ac:dyDescent="0.25">
      <c r="B135" s="30">
        <v>131</v>
      </c>
      <c r="C135" s="22">
        <v>1610</v>
      </c>
      <c r="D135" s="30">
        <v>1</v>
      </c>
      <c r="E135" s="30">
        <v>1</v>
      </c>
      <c r="F135" s="30">
        <v>1</v>
      </c>
      <c r="G135" s="30"/>
      <c r="H135" s="30"/>
    </row>
    <row r="136" spans="2:8" x14ac:dyDescent="0.25">
      <c r="B136" s="30">
        <v>132</v>
      </c>
      <c r="C136" s="22">
        <v>1611</v>
      </c>
      <c r="D136" s="30">
        <v>1</v>
      </c>
      <c r="E136" s="30">
        <v>1</v>
      </c>
      <c r="F136" s="30">
        <v>1</v>
      </c>
      <c r="G136" s="30"/>
      <c r="H136" s="30"/>
    </row>
    <row r="137" spans="2:8" x14ac:dyDescent="0.25">
      <c r="B137" s="30">
        <v>133</v>
      </c>
      <c r="C137" s="22">
        <v>1612</v>
      </c>
      <c r="D137" s="30">
        <v>1</v>
      </c>
      <c r="E137" s="30">
        <v>1</v>
      </c>
      <c r="F137" s="30">
        <v>1</v>
      </c>
      <c r="G137" s="30"/>
      <c r="H137" s="30"/>
    </row>
    <row r="138" spans="2:8" x14ac:dyDescent="0.25">
      <c r="B138" s="135" t="s">
        <v>28</v>
      </c>
      <c r="C138" s="135"/>
      <c r="D138" s="33">
        <f>SUM(D5:D137)</f>
        <v>109</v>
      </c>
      <c r="E138" s="33">
        <f>SUM(E5:E137)</f>
        <v>89</v>
      </c>
      <c r="F138" s="33">
        <f>SUM(F5:F137)</f>
        <v>89</v>
      </c>
      <c r="G138" s="33">
        <f>SUM(G5:G137)</f>
        <v>34</v>
      </c>
      <c r="H138" s="33">
        <f>SUM(H5:H137)</f>
        <v>24</v>
      </c>
    </row>
  </sheetData>
  <mergeCells count="9">
    <mergeCell ref="H3:H4"/>
    <mergeCell ref="B2:H2"/>
    <mergeCell ref="B138:C138"/>
    <mergeCell ref="B3:B4"/>
    <mergeCell ref="C3:C4"/>
    <mergeCell ref="D3:D4"/>
    <mergeCell ref="E3:E4"/>
    <mergeCell ref="F3:F4"/>
    <mergeCell ref="G3:G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196"/>
  <sheetViews>
    <sheetView topLeftCell="A10" zoomScale="50" zoomScaleNormal="50" workbookViewId="0">
      <selection activeCell="I43" sqref="I43"/>
    </sheetView>
  </sheetViews>
  <sheetFormatPr defaultRowHeight="15" x14ac:dyDescent="0.25"/>
  <sheetData>
    <row r="2" spans="2:12" x14ac:dyDescent="0.25">
      <c r="B2" s="136" t="s">
        <v>0</v>
      </c>
      <c r="C2" s="138" t="s">
        <v>1</v>
      </c>
      <c r="D2" s="140" t="s">
        <v>4</v>
      </c>
      <c r="E2" s="140"/>
      <c r="F2" s="140"/>
      <c r="G2" s="141" t="s">
        <v>5</v>
      </c>
      <c r="H2" s="142"/>
      <c r="I2" s="143"/>
      <c r="J2" s="144" t="s">
        <v>6</v>
      </c>
      <c r="K2" s="145"/>
      <c r="L2" s="146"/>
    </row>
    <row r="3" spans="2:12" x14ac:dyDescent="0.25">
      <c r="B3" s="137"/>
      <c r="C3" s="139"/>
      <c r="D3" s="54" t="s">
        <v>12</v>
      </c>
      <c r="E3" s="42" t="s">
        <v>2</v>
      </c>
      <c r="F3" s="42" t="s">
        <v>3</v>
      </c>
      <c r="G3" s="54" t="s">
        <v>12</v>
      </c>
      <c r="H3" s="42" t="s">
        <v>2</v>
      </c>
      <c r="I3" s="42" t="s">
        <v>3</v>
      </c>
      <c r="J3" s="54" t="s">
        <v>12</v>
      </c>
      <c r="K3" s="22" t="s">
        <v>2</v>
      </c>
      <c r="L3" s="22" t="s">
        <v>3</v>
      </c>
    </row>
    <row r="4" spans="2:12" x14ac:dyDescent="0.25">
      <c r="B4" s="22">
        <v>1</v>
      </c>
      <c r="C4" s="22">
        <v>101</v>
      </c>
      <c r="D4" s="22" t="s">
        <v>19</v>
      </c>
      <c r="E4" s="42" t="s">
        <v>19</v>
      </c>
      <c r="F4" s="42" t="s">
        <v>19</v>
      </c>
      <c r="G4" s="42" t="s">
        <v>19</v>
      </c>
      <c r="H4" s="42" t="s">
        <v>19</v>
      </c>
      <c r="I4" s="42" t="s">
        <v>19</v>
      </c>
      <c r="J4" s="42" t="s">
        <v>19</v>
      </c>
      <c r="K4" s="22" t="s">
        <v>19</v>
      </c>
      <c r="L4" s="22" t="s">
        <v>19</v>
      </c>
    </row>
    <row r="5" spans="2:12" x14ac:dyDescent="0.25">
      <c r="B5" s="22">
        <v>2</v>
      </c>
      <c r="C5" s="22">
        <v>102</v>
      </c>
      <c r="D5" s="22" t="s">
        <v>19</v>
      </c>
      <c r="E5" s="42" t="s">
        <v>19</v>
      </c>
      <c r="F5" s="42" t="s">
        <v>19</v>
      </c>
      <c r="G5" s="42" t="s">
        <v>19</v>
      </c>
      <c r="H5" s="42" t="s">
        <v>19</v>
      </c>
      <c r="I5" s="42" t="s">
        <v>19</v>
      </c>
      <c r="J5" s="42" t="s">
        <v>19</v>
      </c>
      <c r="K5" s="22" t="s">
        <v>19</v>
      </c>
      <c r="L5" s="22" t="s">
        <v>19</v>
      </c>
    </row>
    <row r="6" spans="2:12" x14ac:dyDescent="0.25">
      <c r="B6" s="22">
        <v>3</v>
      </c>
      <c r="C6" s="22">
        <v>103</v>
      </c>
      <c r="D6" s="22" t="s">
        <v>19</v>
      </c>
      <c r="E6" s="42" t="s">
        <v>19</v>
      </c>
      <c r="F6" s="42" t="s">
        <v>19</v>
      </c>
      <c r="G6" s="42" t="s">
        <v>19</v>
      </c>
      <c r="H6" s="42" t="s">
        <v>19</v>
      </c>
      <c r="I6" s="42" t="s">
        <v>19</v>
      </c>
      <c r="J6" s="42" t="s">
        <v>19</v>
      </c>
      <c r="K6" s="22" t="s">
        <v>19</v>
      </c>
      <c r="L6" s="22" t="s">
        <v>19</v>
      </c>
    </row>
    <row r="7" spans="2:12" x14ac:dyDescent="0.25">
      <c r="B7" s="22">
        <v>4</v>
      </c>
      <c r="C7" s="22">
        <v>104</v>
      </c>
      <c r="D7" s="22" t="s">
        <v>19</v>
      </c>
      <c r="E7" s="42" t="s">
        <v>19</v>
      </c>
      <c r="F7" s="42" t="s">
        <v>19</v>
      </c>
      <c r="G7" s="42" t="s">
        <v>19</v>
      </c>
      <c r="H7" s="42" t="s">
        <v>19</v>
      </c>
      <c r="I7" s="42" t="s">
        <v>19</v>
      </c>
      <c r="J7" s="42" t="s">
        <v>19</v>
      </c>
      <c r="K7" s="22" t="s">
        <v>19</v>
      </c>
      <c r="L7" s="22" t="s">
        <v>19</v>
      </c>
    </row>
    <row r="8" spans="2:12" x14ac:dyDescent="0.25">
      <c r="B8" s="22">
        <v>5</v>
      </c>
      <c r="C8" s="22">
        <v>105</v>
      </c>
      <c r="D8" s="22" t="s">
        <v>19</v>
      </c>
      <c r="E8" s="42" t="s">
        <v>19</v>
      </c>
      <c r="F8" s="42" t="s">
        <v>19</v>
      </c>
      <c r="G8" s="42" t="s">
        <v>19</v>
      </c>
      <c r="H8" s="42" t="s">
        <v>19</v>
      </c>
      <c r="I8" s="42" t="s">
        <v>19</v>
      </c>
      <c r="J8" s="42" t="s">
        <v>19</v>
      </c>
      <c r="K8" s="22" t="s">
        <v>19</v>
      </c>
      <c r="L8" s="22" t="s">
        <v>19</v>
      </c>
    </row>
    <row r="9" spans="2:12" x14ac:dyDescent="0.25">
      <c r="B9" s="22">
        <v>6</v>
      </c>
      <c r="C9" s="22">
        <v>106</v>
      </c>
      <c r="D9" s="22" t="s">
        <v>19</v>
      </c>
      <c r="E9" s="42" t="s">
        <v>19</v>
      </c>
      <c r="F9" s="42" t="s">
        <v>19</v>
      </c>
      <c r="G9" s="42" t="s">
        <v>19</v>
      </c>
      <c r="H9" s="42" t="s">
        <v>19</v>
      </c>
      <c r="I9" s="42" t="s">
        <v>19</v>
      </c>
      <c r="J9" s="42" t="s">
        <v>19</v>
      </c>
      <c r="K9" s="22" t="s">
        <v>19</v>
      </c>
      <c r="L9" s="22" t="s">
        <v>19</v>
      </c>
    </row>
    <row r="10" spans="2:12" x14ac:dyDescent="0.25">
      <c r="B10" s="22">
        <v>7</v>
      </c>
      <c r="C10" s="22">
        <v>107</v>
      </c>
      <c r="D10" s="22" t="s">
        <v>19</v>
      </c>
      <c r="E10" s="42" t="s">
        <v>19</v>
      </c>
      <c r="F10" s="42" t="s">
        <v>19</v>
      </c>
      <c r="G10" s="42" t="s">
        <v>19</v>
      </c>
      <c r="H10" s="42" t="s">
        <v>19</v>
      </c>
      <c r="I10" s="42" t="s">
        <v>19</v>
      </c>
      <c r="J10" s="42" t="s">
        <v>19</v>
      </c>
      <c r="K10" s="22" t="s">
        <v>19</v>
      </c>
      <c r="L10" s="22" t="s">
        <v>19</v>
      </c>
    </row>
    <row r="11" spans="2:12" x14ac:dyDescent="0.25">
      <c r="B11" s="22">
        <v>8</v>
      </c>
      <c r="C11" s="22">
        <v>108</v>
      </c>
      <c r="D11" s="22" t="s">
        <v>19</v>
      </c>
      <c r="E11" s="42" t="s">
        <v>19</v>
      </c>
      <c r="F11" s="42" t="s">
        <v>19</v>
      </c>
      <c r="G11" s="42" t="s">
        <v>19</v>
      </c>
      <c r="H11" s="42" t="s">
        <v>19</v>
      </c>
      <c r="I11" s="42" t="s">
        <v>19</v>
      </c>
      <c r="J11" s="42" t="s">
        <v>19</v>
      </c>
      <c r="K11" s="22" t="s">
        <v>19</v>
      </c>
      <c r="L11" s="22" t="s">
        <v>19</v>
      </c>
    </row>
    <row r="12" spans="2:12" x14ac:dyDescent="0.25">
      <c r="B12" s="22">
        <v>9</v>
      </c>
      <c r="C12" s="22">
        <v>109</v>
      </c>
      <c r="D12" s="22" t="s">
        <v>19</v>
      </c>
      <c r="E12" s="42" t="s">
        <v>19</v>
      </c>
      <c r="F12" s="42" t="s">
        <v>19</v>
      </c>
      <c r="G12" s="42" t="s">
        <v>19</v>
      </c>
      <c r="H12" s="42" t="s">
        <v>19</v>
      </c>
      <c r="I12" s="42" t="s">
        <v>19</v>
      </c>
      <c r="J12" s="42" t="s">
        <v>19</v>
      </c>
      <c r="K12" s="22" t="s">
        <v>19</v>
      </c>
      <c r="L12" s="22" t="s">
        <v>19</v>
      </c>
    </row>
    <row r="13" spans="2:12" x14ac:dyDescent="0.25">
      <c r="B13" s="22">
        <v>10</v>
      </c>
      <c r="C13" s="22">
        <v>110</v>
      </c>
      <c r="D13" s="22" t="s">
        <v>19</v>
      </c>
      <c r="E13" s="42" t="s">
        <v>19</v>
      </c>
      <c r="F13" s="42" t="s">
        <v>19</v>
      </c>
      <c r="G13" s="42" t="s">
        <v>19</v>
      </c>
      <c r="H13" s="42" t="s">
        <v>19</v>
      </c>
      <c r="I13" s="42" t="s">
        <v>19</v>
      </c>
      <c r="J13" s="42" t="s">
        <v>19</v>
      </c>
      <c r="K13" s="22" t="s">
        <v>19</v>
      </c>
      <c r="L13" s="22" t="s">
        <v>19</v>
      </c>
    </row>
    <row r="14" spans="2:12" x14ac:dyDescent="0.25">
      <c r="B14" s="22">
        <v>11</v>
      </c>
      <c r="C14" s="22">
        <v>111</v>
      </c>
      <c r="D14" s="22" t="s">
        <v>19</v>
      </c>
      <c r="E14" s="42" t="s">
        <v>19</v>
      </c>
      <c r="F14" s="42" t="s">
        <v>19</v>
      </c>
      <c r="G14" s="42" t="s">
        <v>19</v>
      </c>
      <c r="H14" s="42" t="s">
        <v>19</v>
      </c>
      <c r="I14" s="42" t="s">
        <v>19</v>
      </c>
      <c r="J14" s="42" t="s">
        <v>19</v>
      </c>
      <c r="K14" s="22" t="s">
        <v>19</v>
      </c>
      <c r="L14" s="22" t="s">
        <v>19</v>
      </c>
    </row>
    <row r="15" spans="2:12" x14ac:dyDescent="0.25">
      <c r="B15" s="22">
        <v>12</v>
      </c>
      <c r="C15" s="22">
        <v>112</v>
      </c>
      <c r="D15" s="22" t="s">
        <v>19</v>
      </c>
      <c r="E15" s="42" t="s">
        <v>19</v>
      </c>
      <c r="F15" s="42" t="s">
        <v>19</v>
      </c>
      <c r="G15" s="42" t="s">
        <v>19</v>
      </c>
      <c r="H15" s="42" t="s">
        <v>19</v>
      </c>
      <c r="I15" s="42" t="s">
        <v>19</v>
      </c>
      <c r="J15" s="42" t="s">
        <v>19</v>
      </c>
      <c r="K15" s="22" t="s">
        <v>19</v>
      </c>
      <c r="L15" s="22" t="s">
        <v>19</v>
      </c>
    </row>
    <row r="16" spans="2:12" x14ac:dyDescent="0.25">
      <c r="B16" s="22">
        <v>13</v>
      </c>
      <c r="C16" s="22">
        <v>201</v>
      </c>
      <c r="D16" s="61">
        <v>150</v>
      </c>
      <c r="E16" s="42">
        <v>2250</v>
      </c>
      <c r="F16" s="42">
        <v>1025</v>
      </c>
      <c r="G16" s="42">
        <v>145</v>
      </c>
      <c r="H16" s="42">
        <v>2245</v>
      </c>
      <c r="I16" s="42">
        <v>890</v>
      </c>
      <c r="J16" s="42">
        <v>145</v>
      </c>
      <c r="K16" s="22">
        <v>2245</v>
      </c>
      <c r="L16" s="22">
        <v>890</v>
      </c>
    </row>
    <row r="17" spans="2:12" x14ac:dyDescent="0.25">
      <c r="B17" s="22">
        <v>14</v>
      </c>
      <c r="C17" s="22">
        <v>202</v>
      </c>
      <c r="D17" s="45">
        <v>150</v>
      </c>
      <c r="E17" s="42">
        <v>2250</v>
      </c>
      <c r="F17" s="42">
        <v>1025</v>
      </c>
      <c r="G17" s="42">
        <v>150</v>
      </c>
      <c r="H17" s="42">
        <v>2265</v>
      </c>
      <c r="I17" s="42">
        <v>890</v>
      </c>
      <c r="J17" s="42">
        <v>140</v>
      </c>
      <c r="K17" s="22">
        <v>2265</v>
      </c>
      <c r="L17" s="22">
        <v>890</v>
      </c>
    </row>
    <row r="18" spans="2:12" x14ac:dyDescent="0.25">
      <c r="B18" s="22">
        <v>15</v>
      </c>
      <c r="C18" s="22">
        <v>203</v>
      </c>
      <c r="D18" s="22">
        <v>150</v>
      </c>
      <c r="E18" s="42">
        <v>2265</v>
      </c>
      <c r="F18" s="42">
        <v>1020</v>
      </c>
      <c r="G18" s="42">
        <v>140</v>
      </c>
      <c r="H18" s="42">
        <v>2260</v>
      </c>
      <c r="I18" s="42">
        <v>900</v>
      </c>
      <c r="J18" s="42">
        <v>145</v>
      </c>
      <c r="K18" s="22">
        <v>2260</v>
      </c>
      <c r="L18" s="22">
        <v>900</v>
      </c>
    </row>
    <row r="19" spans="2:12" x14ac:dyDescent="0.25">
      <c r="B19" s="22">
        <v>16</v>
      </c>
      <c r="C19" s="22">
        <v>204</v>
      </c>
      <c r="D19" s="22">
        <v>150</v>
      </c>
      <c r="E19" s="42">
        <v>2260</v>
      </c>
      <c r="F19" s="42">
        <v>1030</v>
      </c>
      <c r="G19" s="42">
        <v>145</v>
      </c>
      <c r="H19" s="42">
        <v>2255</v>
      </c>
      <c r="I19" s="42">
        <v>885</v>
      </c>
      <c r="J19" s="42">
        <v>140</v>
      </c>
      <c r="K19" s="22">
        <v>2255</v>
      </c>
      <c r="L19" s="22">
        <v>885</v>
      </c>
    </row>
    <row r="20" spans="2:12" x14ac:dyDescent="0.25">
      <c r="B20" s="22">
        <v>17</v>
      </c>
      <c r="C20" s="22">
        <v>205</v>
      </c>
      <c r="D20" s="22">
        <v>150</v>
      </c>
      <c r="E20" s="42">
        <v>2255</v>
      </c>
      <c r="F20" s="42">
        <v>1025</v>
      </c>
      <c r="G20" s="42">
        <v>140</v>
      </c>
      <c r="H20" s="42">
        <v>2255</v>
      </c>
      <c r="I20" s="42">
        <v>895</v>
      </c>
      <c r="J20" s="42">
        <v>140</v>
      </c>
      <c r="K20" s="22">
        <v>2255</v>
      </c>
      <c r="L20" s="22">
        <v>895</v>
      </c>
    </row>
    <row r="21" spans="2:12" x14ac:dyDescent="0.25">
      <c r="B21" s="22">
        <v>18</v>
      </c>
      <c r="C21" s="22">
        <v>206</v>
      </c>
      <c r="D21" s="22">
        <v>225</v>
      </c>
      <c r="E21" s="42">
        <v>2230</v>
      </c>
      <c r="F21" s="42">
        <v>1020</v>
      </c>
      <c r="G21" s="42">
        <v>185</v>
      </c>
      <c r="H21" s="42">
        <v>2225</v>
      </c>
      <c r="I21" s="42">
        <v>870</v>
      </c>
      <c r="J21" s="42">
        <v>145</v>
      </c>
      <c r="K21" s="22">
        <v>2225</v>
      </c>
      <c r="L21" s="22">
        <v>860</v>
      </c>
    </row>
    <row r="22" spans="2:12" x14ac:dyDescent="0.25">
      <c r="B22" s="22">
        <v>19</v>
      </c>
      <c r="C22" s="22">
        <v>207</v>
      </c>
      <c r="D22" s="22">
        <v>150</v>
      </c>
      <c r="E22" s="42">
        <v>2225</v>
      </c>
      <c r="F22" s="42">
        <v>1020</v>
      </c>
      <c r="G22" s="42">
        <v>160</v>
      </c>
      <c r="H22" s="42">
        <v>2225</v>
      </c>
      <c r="I22" s="42">
        <v>900</v>
      </c>
      <c r="J22" s="42">
        <v>145</v>
      </c>
      <c r="K22" s="22">
        <v>2225</v>
      </c>
      <c r="L22" s="22">
        <v>900</v>
      </c>
    </row>
    <row r="23" spans="2:12" x14ac:dyDescent="0.25">
      <c r="B23" s="22">
        <v>20</v>
      </c>
      <c r="C23" s="22">
        <v>208</v>
      </c>
      <c r="D23" s="22">
        <v>150</v>
      </c>
      <c r="E23" s="42">
        <v>2260</v>
      </c>
      <c r="F23" s="42">
        <v>1030</v>
      </c>
      <c r="G23" s="42">
        <v>145</v>
      </c>
      <c r="H23" s="42">
        <v>2245</v>
      </c>
      <c r="I23" s="42">
        <v>895</v>
      </c>
      <c r="J23" s="42">
        <v>140</v>
      </c>
      <c r="K23" s="22">
        <v>2245</v>
      </c>
      <c r="L23" s="22">
        <v>895</v>
      </c>
    </row>
    <row r="24" spans="2:12" x14ac:dyDescent="0.25">
      <c r="B24" s="22">
        <v>21</v>
      </c>
      <c r="C24" s="22">
        <v>209</v>
      </c>
      <c r="D24" s="22">
        <v>150</v>
      </c>
      <c r="E24" s="42">
        <v>2255</v>
      </c>
      <c r="F24" s="42">
        <v>1030</v>
      </c>
      <c r="G24" s="42">
        <v>160</v>
      </c>
      <c r="H24" s="42">
        <v>2260</v>
      </c>
      <c r="I24" s="42">
        <v>900</v>
      </c>
      <c r="J24" s="42">
        <v>130</v>
      </c>
      <c r="K24" s="22">
        <v>2260</v>
      </c>
      <c r="L24" s="22">
        <v>895</v>
      </c>
    </row>
    <row r="25" spans="2:12" x14ac:dyDescent="0.25">
      <c r="B25" s="22">
        <v>22</v>
      </c>
      <c r="C25" s="22">
        <v>210</v>
      </c>
      <c r="D25" s="22">
        <v>150</v>
      </c>
      <c r="E25" s="42">
        <v>2265</v>
      </c>
      <c r="F25" s="42">
        <v>1025</v>
      </c>
      <c r="G25" s="42">
        <v>155</v>
      </c>
      <c r="H25" s="42">
        <v>2265</v>
      </c>
      <c r="I25" s="42">
        <v>900</v>
      </c>
      <c r="J25" s="42">
        <v>120</v>
      </c>
      <c r="K25" s="22">
        <v>2265</v>
      </c>
      <c r="L25" s="22">
        <v>895</v>
      </c>
    </row>
    <row r="26" spans="2:12" x14ac:dyDescent="0.25">
      <c r="B26" s="22">
        <v>23</v>
      </c>
      <c r="C26" s="22">
        <v>211</v>
      </c>
      <c r="D26" s="22">
        <v>155</v>
      </c>
      <c r="E26" s="42">
        <v>2250</v>
      </c>
      <c r="F26" s="42">
        <v>1025</v>
      </c>
      <c r="G26" s="42">
        <v>170</v>
      </c>
      <c r="H26" s="42">
        <v>2240</v>
      </c>
      <c r="I26" s="42">
        <v>900</v>
      </c>
      <c r="J26" s="42">
        <v>140</v>
      </c>
      <c r="K26" s="22">
        <v>2240</v>
      </c>
      <c r="L26" s="22">
        <v>885</v>
      </c>
    </row>
    <row r="27" spans="2:12" x14ac:dyDescent="0.25">
      <c r="B27" s="22">
        <v>24</v>
      </c>
      <c r="C27" s="22">
        <v>212</v>
      </c>
      <c r="D27" s="22">
        <v>155</v>
      </c>
      <c r="E27" s="42">
        <v>2240</v>
      </c>
      <c r="F27" s="42">
        <v>1030</v>
      </c>
      <c r="G27" s="42">
        <v>160</v>
      </c>
      <c r="H27" s="42">
        <v>2245</v>
      </c>
      <c r="I27" s="42">
        <v>900</v>
      </c>
      <c r="J27" s="42">
        <v>145</v>
      </c>
      <c r="K27" s="22">
        <v>2245</v>
      </c>
      <c r="L27" s="22">
        <v>880</v>
      </c>
    </row>
    <row r="28" spans="2:12" x14ac:dyDescent="0.25">
      <c r="B28" s="22">
        <v>25</v>
      </c>
      <c r="C28" s="22">
        <v>301</v>
      </c>
      <c r="D28" s="22">
        <v>158</v>
      </c>
      <c r="E28" s="42">
        <v>2260</v>
      </c>
      <c r="F28" s="42">
        <v>1020</v>
      </c>
      <c r="G28" s="42">
        <v>150</v>
      </c>
      <c r="H28" s="42">
        <v>2340</v>
      </c>
      <c r="I28" s="42">
        <v>890</v>
      </c>
      <c r="J28" s="42">
        <v>157</v>
      </c>
      <c r="K28" s="22">
        <v>2340</v>
      </c>
      <c r="L28" s="22">
        <v>890</v>
      </c>
    </row>
    <row r="29" spans="2:12" x14ac:dyDescent="0.25">
      <c r="B29" s="22">
        <v>26</v>
      </c>
      <c r="C29" s="22">
        <v>302</v>
      </c>
      <c r="D29" s="22">
        <v>156</v>
      </c>
      <c r="E29" s="42">
        <v>2242</v>
      </c>
      <c r="F29" s="42">
        <v>1026</v>
      </c>
      <c r="G29" s="42">
        <v>160</v>
      </c>
      <c r="H29" s="42">
        <v>2255</v>
      </c>
      <c r="I29" s="42">
        <v>895</v>
      </c>
      <c r="J29" s="42">
        <v>153</v>
      </c>
      <c r="K29" s="22">
        <v>2253</v>
      </c>
      <c r="L29" s="22">
        <v>893</v>
      </c>
    </row>
    <row r="30" spans="2:12" x14ac:dyDescent="0.25">
      <c r="B30" s="22">
        <v>27</v>
      </c>
      <c r="C30" s="22">
        <v>303</v>
      </c>
      <c r="D30" s="22">
        <v>150</v>
      </c>
      <c r="E30" s="42">
        <v>2255</v>
      </c>
      <c r="F30" s="42">
        <v>1032</v>
      </c>
      <c r="G30" s="42">
        <v>148</v>
      </c>
      <c r="H30" s="42">
        <v>2255</v>
      </c>
      <c r="I30" s="42">
        <v>877</v>
      </c>
      <c r="J30" s="42">
        <v>150</v>
      </c>
      <c r="K30" s="22">
        <v>2255</v>
      </c>
      <c r="L30" s="22">
        <v>875</v>
      </c>
    </row>
    <row r="31" spans="2:12" x14ac:dyDescent="0.25">
      <c r="B31" s="22">
        <v>28</v>
      </c>
      <c r="C31" s="22">
        <v>304</v>
      </c>
      <c r="D31" s="22">
        <v>154</v>
      </c>
      <c r="E31" s="42">
        <v>2245</v>
      </c>
      <c r="F31" s="42">
        <v>1025</v>
      </c>
      <c r="G31" s="42">
        <v>150</v>
      </c>
      <c r="H31" s="42">
        <v>2245</v>
      </c>
      <c r="I31" s="42">
        <v>880</v>
      </c>
      <c r="J31" s="42">
        <v>150</v>
      </c>
      <c r="K31" s="22">
        <v>2242</v>
      </c>
      <c r="L31" s="22">
        <v>886</v>
      </c>
    </row>
    <row r="32" spans="2:12" x14ac:dyDescent="0.25">
      <c r="B32" s="22">
        <v>29</v>
      </c>
      <c r="C32" s="22">
        <v>305</v>
      </c>
      <c r="D32" s="62"/>
      <c r="E32" s="62"/>
      <c r="F32" s="42"/>
      <c r="G32" s="42">
        <v>147</v>
      </c>
      <c r="H32" s="42">
        <v>2252</v>
      </c>
      <c r="I32" s="42">
        <v>875</v>
      </c>
      <c r="J32" s="42">
        <v>153</v>
      </c>
      <c r="K32" s="22">
        <v>2250</v>
      </c>
      <c r="L32" s="22">
        <v>871</v>
      </c>
    </row>
    <row r="33" spans="2:12" x14ac:dyDescent="0.25">
      <c r="B33" s="22">
        <v>30</v>
      </c>
      <c r="C33" s="22">
        <v>306</v>
      </c>
      <c r="D33" s="63"/>
      <c r="E33" s="42"/>
      <c r="F33" s="42"/>
      <c r="G33" s="42"/>
      <c r="H33" s="42"/>
      <c r="I33" s="42"/>
      <c r="J33" s="42"/>
      <c r="K33" s="22"/>
      <c r="L33" s="22"/>
    </row>
    <row r="34" spans="2:12" x14ac:dyDescent="0.25">
      <c r="B34" s="22">
        <v>31</v>
      </c>
      <c r="C34" s="22">
        <v>307</v>
      </c>
      <c r="D34" s="22"/>
      <c r="E34" s="42"/>
      <c r="F34" s="42"/>
      <c r="G34" s="42"/>
      <c r="H34" s="42"/>
      <c r="I34" s="42"/>
      <c r="J34" s="42"/>
      <c r="K34" s="22"/>
      <c r="L34" s="22"/>
    </row>
    <row r="35" spans="2:12" x14ac:dyDescent="0.25">
      <c r="B35" s="22">
        <v>32</v>
      </c>
      <c r="C35" s="22">
        <v>308</v>
      </c>
      <c r="D35" s="22">
        <v>155</v>
      </c>
      <c r="E35" s="42">
        <v>2230</v>
      </c>
      <c r="F35" s="42">
        <v>1045</v>
      </c>
      <c r="G35" s="42">
        <v>142</v>
      </c>
      <c r="H35" s="42">
        <v>2220</v>
      </c>
      <c r="I35" s="42">
        <v>905</v>
      </c>
      <c r="J35" s="42">
        <v>152</v>
      </c>
      <c r="K35" s="22">
        <v>2222</v>
      </c>
      <c r="L35" s="22">
        <v>903</v>
      </c>
    </row>
    <row r="36" spans="2:12" x14ac:dyDescent="0.25">
      <c r="B36" s="22">
        <v>33</v>
      </c>
      <c r="C36" s="22">
        <v>309</v>
      </c>
      <c r="D36" s="22">
        <v>156</v>
      </c>
      <c r="E36" s="42">
        <v>2240</v>
      </c>
      <c r="F36" s="42">
        <v>1040</v>
      </c>
      <c r="G36" s="42">
        <v>153</v>
      </c>
      <c r="H36" s="42">
        <v>2225</v>
      </c>
      <c r="I36" s="42">
        <v>905</v>
      </c>
      <c r="J36" s="42">
        <v>155</v>
      </c>
      <c r="K36" s="22">
        <v>2230</v>
      </c>
      <c r="L36" s="22">
        <v>905</v>
      </c>
    </row>
    <row r="37" spans="2:12" x14ac:dyDescent="0.25">
      <c r="B37" s="22">
        <v>34</v>
      </c>
      <c r="C37" s="22">
        <v>310</v>
      </c>
      <c r="D37" s="22">
        <v>160</v>
      </c>
      <c r="E37" s="42">
        <v>2240</v>
      </c>
      <c r="F37" s="42">
        <v>1050</v>
      </c>
      <c r="G37" s="42">
        <v>156</v>
      </c>
      <c r="H37" s="42">
        <v>2235</v>
      </c>
      <c r="I37" s="42">
        <v>870</v>
      </c>
      <c r="J37" s="42">
        <v>154</v>
      </c>
      <c r="K37" s="22">
        <v>2238</v>
      </c>
      <c r="L37" s="22">
        <v>867</v>
      </c>
    </row>
    <row r="38" spans="2:12" x14ac:dyDescent="0.25">
      <c r="B38" s="22">
        <v>35</v>
      </c>
      <c r="C38" s="22">
        <v>311</v>
      </c>
      <c r="D38" s="22">
        <v>151</v>
      </c>
      <c r="E38" s="42">
        <v>2250</v>
      </c>
      <c r="F38" s="42">
        <v>1040</v>
      </c>
      <c r="G38" s="42">
        <v>151</v>
      </c>
      <c r="H38" s="42">
        <v>2245</v>
      </c>
      <c r="I38" s="42">
        <v>895</v>
      </c>
      <c r="J38" s="42">
        <v>107</v>
      </c>
      <c r="K38" s="22">
        <v>2250</v>
      </c>
      <c r="L38" s="22">
        <v>900</v>
      </c>
    </row>
    <row r="39" spans="2:12" x14ac:dyDescent="0.25">
      <c r="B39" s="22">
        <v>36</v>
      </c>
      <c r="C39" s="22">
        <v>312</v>
      </c>
      <c r="D39" s="22">
        <v>158</v>
      </c>
      <c r="E39" s="42">
        <v>2240</v>
      </c>
      <c r="F39" s="42">
        <v>1038</v>
      </c>
      <c r="G39" s="22">
        <v>145</v>
      </c>
      <c r="H39" s="22">
        <v>2240</v>
      </c>
      <c r="I39" s="22">
        <v>900</v>
      </c>
      <c r="J39" s="22">
        <v>115</v>
      </c>
      <c r="K39" s="22">
        <v>2240</v>
      </c>
      <c r="L39" s="22">
        <v>900</v>
      </c>
    </row>
    <row r="40" spans="2:12" x14ac:dyDescent="0.25">
      <c r="B40" s="22">
        <v>37</v>
      </c>
      <c r="C40" s="22">
        <v>401</v>
      </c>
      <c r="D40" s="22">
        <v>160</v>
      </c>
      <c r="E40" s="42">
        <v>2250</v>
      </c>
      <c r="F40" s="42">
        <v>1025</v>
      </c>
      <c r="G40" s="42">
        <v>149</v>
      </c>
      <c r="H40" s="42">
        <v>2230</v>
      </c>
      <c r="I40" s="42">
        <v>878</v>
      </c>
      <c r="J40" s="42">
        <v>155</v>
      </c>
      <c r="K40" s="22">
        <v>2230</v>
      </c>
      <c r="L40" s="22">
        <v>880</v>
      </c>
    </row>
    <row r="41" spans="2:12" x14ac:dyDescent="0.25">
      <c r="B41" s="22">
        <v>38</v>
      </c>
      <c r="C41" s="22">
        <v>402</v>
      </c>
      <c r="D41" s="22">
        <v>152</v>
      </c>
      <c r="E41" s="42">
        <v>2242</v>
      </c>
      <c r="F41" s="42">
        <v>1013</v>
      </c>
      <c r="G41" s="42">
        <v>154</v>
      </c>
      <c r="H41" s="42">
        <v>2235</v>
      </c>
      <c r="I41" s="42">
        <v>885</v>
      </c>
      <c r="J41" s="42">
        <v>150</v>
      </c>
      <c r="K41" s="22">
        <v>2240</v>
      </c>
      <c r="L41" s="22">
        <v>888</v>
      </c>
    </row>
    <row r="42" spans="2:12" x14ac:dyDescent="0.25">
      <c r="B42" s="22">
        <v>39</v>
      </c>
      <c r="C42" s="22">
        <v>403</v>
      </c>
      <c r="D42" s="22">
        <v>158</v>
      </c>
      <c r="E42" s="42">
        <v>2250</v>
      </c>
      <c r="F42" s="42">
        <v>1026</v>
      </c>
      <c r="G42" s="42">
        <v>144</v>
      </c>
      <c r="H42" s="42">
        <v>2226</v>
      </c>
      <c r="I42" s="42">
        <v>870</v>
      </c>
      <c r="J42" s="42">
        <v>148</v>
      </c>
      <c r="K42" s="22">
        <v>2225</v>
      </c>
      <c r="L42" s="22">
        <v>872</v>
      </c>
    </row>
    <row r="43" spans="2:12" x14ac:dyDescent="0.25">
      <c r="B43" s="22">
        <v>40</v>
      </c>
      <c r="C43" s="22">
        <v>404</v>
      </c>
      <c r="D43" s="22">
        <v>153</v>
      </c>
      <c r="E43" s="42">
        <v>2245</v>
      </c>
      <c r="F43" s="42">
        <v>1025</v>
      </c>
      <c r="G43" s="42">
        <v>145</v>
      </c>
      <c r="H43" s="42">
        <v>2238</v>
      </c>
      <c r="I43" s="42">
        <v>875</v>
      </c>
      <c r="J43" s="42">
        <v>152</v>
      </c>
      <c r="K43" s="22">
        <v>2235</v>
      </c>
      <c r="L43" s="22">
        <v>875</v>
      </c>
    </row>
    <row r="44" spans="2:12" x14ac:dyDescent="0.25">
      <c r="B44" s="22">
        <v>41</v>
      </c>
      <c r="C44" s="22">
        <v>405</v>
      </c>
      <c r="D44" s="22">
        <v>155</v>
      </c>
      <c r="E44" s="42">
        <v>2220</v>
      </c>
      <c r="F44" s="42">
        <v>1015</v>
      </c>
      <c r="G44" s="42">
        <v>158</v>
      </c>
      <c r="H44" s="42">
        <v>2235</v>
      </c>
      <c r="I44" s="42">
        <v>880</v>
      </c>
      <c r="J44" s="42">
        <v>145</v>
      </c>
      <c r="K44" s="22">
        <v>2235</v>
      </c>
      <c r="L44" s="22">
        <v>884</v>
      </c>
    </row>
    <row r="45" spans="2:12" x14ac:dyDescent="0.25">
      <c r="B45" s="22">
        <v>42</v>
      </c>
      <c r="C45" s="22">
        <v>406</v>
      </c>
      <c r="D45" s="22">
        <v>249</v>
      </c>
      <c r="E45" s="42">
        <v>2245</v>
      </c>
      <c r="F45" s="42">
        <v>1025</v>
      </c>
      <c r="G45" s="42">
        <v>145</v>
      </c>
      <c r="H45" s="42">
        <v>2245</v>
      </c>
      <c r="I45" s="42">
        <v>897</v>
      </c>
      <c r="J45" s="42">
        <v>153</v>
      </c>
      <c r="K45" s="22">
        <v>2245</v>
      </c>
      <c r="L45" s="22">
        <v>895</v>
      </c>
    </row>
    <row r="46" spans="2:12" x14ac:dyDescent="0.25">
      <c r="B46" s="22">
        <v>43</v>
      </c>
      <c r="C46" s="22">
        <v>407</v>
      </c>
      <c r="D46" s="22">
        <v>148</v>
      </c>
      <c r="E46" s="42">
        <v>2250</v>
      </c>
      <c r="F46" s="42">
        <v>1043</v>
      </c>
      <c r="G46" s="42">
        <v>178</v>
      </c>
      <c r="H46" s="42">
        <v>2250</v>
      </c>
      <c r="I46" s="42">
        <v>900</v>
      </c>
      <c r="J46" s="42">
        <v>148</v>
      </c>
      <c r="K46" s="22">
        <v>2245</v>
      </c>
      <c r="L46" s="22">
        <v>900</v>
      </c>
    </row>
    <row r="47" spans="2:12" x14ac:dyDescent="0.25">
      <c r="B47" s="22">
        <v>44</v>
      </c>
      <c r="C47" s="22">
        <v>408</v>
      </c>
      <c r="D47" s="22">
        <v>177</v>
      </c>
      <c r="E47" s="42">
        <v>2260</v>
      </c>
      <c r="F47" s="42">
        <v>1040</v>
      </c>
      <c r="G47" s="42">
        <v>151</v>
      </c>
      <c r="H47" s="42">
        <v>2260</v>
      </c>
      <c r="I47" s="42">
        <v>900</v>
      </c>
      <c r="J47" s="42">
        <v>160</v>
      </c>
      <c r="K47" s="22">
        <v>2260</v>
      </c>
      <c r="L47" s="22">
        <v>895</v>
      </c>
    </row>
    <row r="48" spans="2:12" x14ac:dyDescent="0.25">
      <c r="B48" s="22">
        <v>45</v>
      </c>
      <c r="C48" s="22">
        <v>409</v>
      </c>
      <c r="D48" s="22">
        <v>156</v>
      </c>
      <c r="E48" s="42">
        <v>2255</v>
      </c>
      <c r="F48" s="42">
        <v>1030</v>
      </c>
      <c r="G48" s="42">
        <v>158</v>
      </c>
      <c r="H48" s="42">
        <v>2250</v>
      </c>
      <c r="I48" s="42">
        <v>900</v>
      </c>
      <c r="J48" s="42">
        <v>152</v>
      </c>
      <c r="K48" s="22">
        <v>2245</v>
      </c>
      <c r="L48" s="22">
        <v>900</v>
      </c>
    </row>
    <row r="49" spans="2:12" x14ac:dyDescent="0.25">
      <c r="B49" s="22">
        <v>46</v>
      </c>
      <c r="C49" s="22">
        <v>410</v>
      </c>
      <c r="D49" s="22">
        <v>165</v>
      </c>
      <c r="E49" s="42">
        <v>2272</v>
      </c>
      <c r="F49" s="42">
        <v>1025</v>
      </c>
      <c r="G49" s="42">
        <v>165</v>
      </c>
      <c r="H49" s="42">
        <v>2245</v>
      </c>
      <c r="I49" s="42">
        <v>880</v>
      </c>
      <c r="J49" s="42">
        <v>153</v>
      </c>
      <c r="K49" s="22">
        <v>2250</v>
      </c>
      <c r="L49" s="22">
        <v>880</v>
      </c>
    </row>
    <row r="50" spans="2:12" x14ac:dyDescent="0.25">
      <c r="B50" s="22">
        <v>47</v>
      </c>
      <c r="C50" s="22">
        <v>411</v>
      </c>
      <c r="D50" s="22">
        <v>142</v>
      </c>
      <c r="E50" s="42">
        <v>2240</v>
      </c>
      <c r="F50" s="42">
        <v>1028</v>
      </c>
      <c r="G50" s="42">
        <v>117</v>
      </c>
      <c r="H50" s="42">
        <v>2235</v>
      </c>
      <c r="I50" s="42">
        <v>898</v>
      </c>
      <c r="J50" s="42">
        <v>142</v>
      </c>
      <c r="K50" s="22">
        <v>2240</v>
      </c>
      <c r="L50" s="22">
        <v>900</v>
      </c>
    </row>
    <row r="51" spans="2:12" x14ac:dyDescent="0.25">
      <c r="B51" s="22">
        <v>48</v>
      </c>
      <c r="C51" s="22">
        <v>412</v>
      </c>
      <c r="D51" s="22">
        <v>151</v>
      </c>
      <c r="E51" s="42">
        <v>2245</v>
      </c>
      <c r="F51" s="42">
        <v>1025</v>
      </c>
      <c r="G51" s="42">
        <v>108</v>
      </c>
      <c r="H51" s="42">
        <v>2255</v>
      </c>
      <c r="I51" s="42">
        <v>900</v>
      </c>
      <c r="J51" s="42">
        <v>148</v>
      </c>
      <c r="K51" s="22">
        <v>2255</v>
      </c>
      <c r="L51" s="22">
        <v>900</v>
      </c>
    </row>
    <row r="52" spans="2:12" x14ac:dyDescent="0.25">
      <c r="B52" s="22">
        <v>49</v>
      </c>
      <c r="C52" s="22">
        <v>501</v>
      </c>
      <c r="D52" s="22">
        <v>150</v>
      </c>
      <c r="E52" s="42">
        <v>2245</v>
      </c>
      <c r="F52" s="42">
        <v>1025</v>
      </c>
      <c r="G52" s="42">
        <v>156</v>
      </c>
      <c r="H52" s="42">
        <v>2255</v>
      </c>
      <c r="I52" s="42">
        <v>895</v>
      </c>
      <c r="J52" s="42">
        <v>146</v>
      </c>
      <c r="K52" s="22">
        <v>2260</v>
      </c>
      <c r="L52" s="22">
        <v>896</v>
      </c>
    </row>
    <row r="53" spans="2:12" x14ac:dyDescent="0.25">
      <c r="B53" s="22">
        <v>50</v>
      </c>
      <c r="C53" s="22">
        <v>502</v>
      </c>
      <c r="D53" s="22">
        <v>153</v>
      </c>
      <c r="E53" s="42">
        <v>2245</v>
      </c>
      <c r="F53" s="42">
        <v>1015</v>
      </c>
      <c r="G53" s="42">
        <v>162</v>
      </c>
      <c r="H53" s="42">
        <v>2230</v>
      </c>
      <c r="I53" s="42">
        <v>900</v>
      </c>
      <c r="J53" s="42">
        <v>151</v>
      </c>
      <c r="K53" s="22">
        <v>2235</v>
      </c>
      <c r="L53" s="22">
        <v>900</v>
      </c>
    </row>
    <row r="54" spans="2:12" x14ac:dyDescent="0.25">
      <c r="B54" s="22">
        <v>51</v>
      </c>
      <c r="C54" s="22">
        <v>503</v>
      </c>
      <c r="D54" s="22">
        <v>154</v>
      </c>
      <c r="E54" s="42">
        <v>2255</v>
      </c>
      <c r="F54" s="42">
        <v>1017</v>
      </c>
      <c r="G54" s="42">
        <v>147</v>
      </c>
      <c r="H54" s="42">
        <v>2235</v>
      </c>
      <c r="I54" s="42">
        <v>898</v>
      </c>
      <c r="J54" s="42">
        <v>150</v>
      </c>
      <c r="K54" s="22">
        <v>2235</v>
      </c>
      <c r="L54" s="22">
        <v>895</v>
      </c>
    </row>
    <row r="55" spans="2:12" x14ac:dyDescent="0.25">
      <c r="B55" s="22">
        <v>52</v>
      </c>
      <c r="C55" s="22">
        <v>504</v>
      </c>
      <c r="D55" s="22">
        <v>155</v>
      </c>
      <c r="E55" s="42">
        <v>2245</v>
      </c>
      <c r="F55" s="42">
        <v>1020</v>
      </c>
      <c r="G55" s="42">
        <v>148</v>
      </c>
      <c r="H55" s="42">
        <v>2250</v>
      </c>
      <c r="I55" s="42">
        <v>900</v>
      </c>
      <c r="J55" s="42">
        <v>141</v>
      </c>
      <c r="K55" s="22">
        <v>2250</v>
      </c>
      <c r="L55" s="22">
        <v>898</v>
      </c>
    </row>
    <row r="56" spans="2:12" x14ac:dyDescent="0.25">
      <c r="B56" s="22">
        <v>53</v>
      </c>
      <c r="C56" s="22">
        <v>505</v>
      </c>
      <c r="D56" s="22">
        <v>140</v>
      </c>
      <c r="E56" s="42">
        <v>2230</v>
      </c>
      <c r="F56" s="42">
        <v>1035</v>
      </c>
      <c r="G56" s="42">
        <v>152</v>
      </c>
      <c r="H56" s="42">
        <v>2240</v>
      </c>
      <c r="I56" s="42">
        <v>885</v>
      </c>
      <c r="J56" s="42">
        <v>164</v>
      </c>
      <c r="K56" s="22">
        <v>2235</v>
      </c>
      <c r="L56" s="22">
        <v>885</v>
      </c>
    </row>
    <row r="57" spans="2:12" x14ac:dyDescent="0.25">
      <c r="B57" s="22">
        <v>54</v>
      </c>
      <c r="C57" s="22">
        <v>506</v>
      </c>
      <c r="D57" s="22">
        <v>235</v>
      </c>
      <c r="E57" s="42">
        <v>2240</v>
      </c>
      <c r="F57" s="42">
        <v>1012</v>
      </c>
      <c r="G57" s="42">
        <v>183</v>
      </c>
      <c r="H57" s="42">
        <v>2205</v>
      </c>
      <c r="I57" s="42">
        <v>900</v>
      </c>
      <c r="J57" s="22">
        <v>145</v>
      </c>
      <c r="K57" s="22">
        <v>2205</v>
      </c>
      <c r="L57" s="22">
        <v>870</v>
      </c>
    </row>
    <row r="58" spans="2:12" x14ac:dyDescent="0.25">
      <c r="B58" s="22">
        <v>55</v>
      </c>
      <c r="C58" s="22">
        <v>507</v>
      </c>
      <c r="D58" s="22">
        <v>145</v>
      </c>
      <c r="E58" s="42">
        <v>2230</v>
      </c>
      <c r="F58" s="42">
        <v>1060</v>
      </c>
      <c r="G58" s="42">
        <v>186</v>
      </c>
      <c r="H58" s="42">
        <v>2230</v>
      </c>
      <c r="I58" s="42">
        <v>900</v>
      </c>
      <c r="J58" s="42">
        <v>150</v>
      </c>
      <c r="K58" s="22">
        <v>2230</v>
      </c>
      <c r="L58" s="22">
        <v>900</v>
      </c>
    </row>
    <row r="59" spans="2:12" x14ac:dyDescent="0.25">
      <c r="B59" s="22">
        <v>56</v>
      </c>
      <c r="C59" s="22">
        <v>508</v>
      </c>
      <c r="D59" s="22">
        <v>150</v>
      </c>
      <c r="E59" s="22">
        <v>2240</v>
      </c>
      <c r="F59" s="22">
        <v>1040</v>
      </c>
      <c r="G59" s="42">
        <v>156</v>
      </c>
      <c r="H59" s="42">
        <v>2245</v>
      </c>
      <c r="I59" s="42">
        <v>895</v>
      </c>
      <c r="J59" s="42">
        <v>143</v>
      </c>
      <c r="K59" s="22">
        <v>2245</v>
      </c>
      <c r="L59" s="22">
        <v>898</v>
      </c>
    </row>
    <row r="60" spans="2:12" x14ac:dyDescent="0.25">
      <c r="B60" s="22">
        <v>57</v>
      </c>
      <c r="C60" s="22">
        <v>509</v>
      </c>
      <c r="D60" s="22">
        <v>155</v>
      </c>
      <c r="E60" s="42">
        <v>2230</v>
      </c>
      <c r="F60" s="42">
        <v>1027</v>
      </c>
      <c r="G60" s="42">
        <v>150</v>
      </c>
      <c r="H60" s="42">
        <v>2235</v>
      </c>
      <c r="I60" s="42">
        <v>897</v>
      </c>
      <c r="J60" s="42">
        <v>148</v>
      </c>
      <c r="K60" s="22">
        <v>2235</v>
      </c>
      <c r="L60" s="22">
        <v>900</v>
      </c>
    </row>
    <row r="61" spans="2:12" x14ac:dyDescent="0.25">
      <c r="B61" s="22">
        <v>58</v>
      </c>
      <c r="C61" s="22">
        <v>510</v>
      </c>
      <c r="D61" s="22">
        <v>152</v>
      </c>
      <c r="E61" s="42">
        <v>2235</v>
      </c>
      <c r="F61" s="42">
        <v>1027</v>
      </c>
      <c r="G61" s="42">
        <v>163</v>
      </c>
      <c r="H61" s="42">
        <v>2240</v>
      </c>
      <c r="I61" s="42">
        <v>897</v>
      </c>
      <c r="J61" s="42">
        <v>142</v>
      </c>
      <c r="K61" s="22">
        <v>2240</v>
      </c>
      <c r="L61" s="22">
        <v>900</v>
      </c>
    </row>
    <row r="62" spans="2:12" x14ac:dyDescent="0.25">
      <c r="B62" s="22">
        <v>59</v>
      </c>
      <c r="C62" s="22">
        <v>511</v>
      </c>
      <c r="D62" s="22">
        <v>160</v>
      </c>
      <c r="E62" s="42">
        <v>2230</v>
      </c>
      <c r="F62" s="42">
        <v>1030</v>
      </c>
      <c r="G62" s="42">
        <v>145</v>
      </c>
      <c r="H62" s="42">
        <v>2230</v>
      </c>
      <c r="I62" s="42">
        <v>895</v>
      </c>
      <c r="J62" s="42">
        <v>110</v>
      </c>
      <c r="K62" s="22">
        <v>2240</v>
      </c>
      <c r="L62" s="22">
        <v>898</v>
      </c>
    </row>
    <row r="63" spans="2:12" x14ac:dyDescent="0.25">
      <c r="B63" s="22">
        <v>60</v>
      </c>
      <c r="C63" s="22">
        <v>512</v>
      </c>
      <c r="D63" s="22">
        <v>150</v>
      </c>
      <c r="E63" s="42">
        <v>2235</v>
      </c>
      <c r="F63" s="42">
        <v>1030</v>
      </c>
      <c r="G63" s="42">
        <v>109</v>
      </c>
      <c r="H63" s="42">
        <v>2230</v>
      </c>
      <c r="I63" s="42">
        <v>900</v>
      </c>
      <c r="J63" s="42">
        <v>148</v>
      </c>
      <c r="K63" s="22">
        <v>2235</v>
      </c>
      <c r="L63" s="22">
        <v>896</v>
      </c>
    </row>
    <row r="64" spans="2:12" x14ac:dyDescent="0.25">
      <c r="B64" s="22">
        <v>61</v>
      </c>
      <c r="C64" s="22">
        <v>601</v>
      </c>
      <c r="D64" s="22">
        <v>161</v>
      </c>
      <c r="E64" s="42">
        <v>2230</v>
      </c>
      <c r="F64" s="42">
        <v>1027</v>
      </c>
      <c r="G64" s="42">
        <v>158</v>
      </c>
      <c r="H64" s="42">
        <v>2235</v>
      </c>
      <c r="I64" s="42">
        <v>895</v>
      </c>
      <c r="J64" s="42">
        <v>150</v>
      </c>
      <c r="K64" s="22">
        <v>2235</v>
      </c>
      <c r="L64" s="22">
        <v>900</v>
      </c>
    </row>
    <row r="65" spans="2:12" x14ac:dyDescent="0.25">
      <c r="B65" s="22">
        <v>62</v>
      </c>
      <c r="C65" s="22">
        <v>602</v>
      </c>
      <c r="D65" s="22">
        <v>152</v>
      </c>
      <c r="E65" s="42">
        <v>2230</v>
      </c>
      <c r="F65" s="42">
        <v>1027</v>
      </c>
      <c r="G65" s="22">
        <v>145</v>
      </c>
      <c r="H65" s="22">
        <v>2245</v>
      </c>
      <c r="I65" s="22">
        <v>900</v>
      </c>
      <c r="J65" s="42">
        <v>152</v>
      </c>
      <c r="K65" s="22">
        <v>2230</v>
      </c>
      <c r="L65" s="22">
        <v>885</v>
      </c>
    </row>
    <row r="66" spans="2:12" x14ac:dyDescent="0.25">
      <c r="B66" s="22">
        <v>63</v>
      </c>
      <c r="C66" s="22">
        <v>603</v>
      </c>
      <c r="D66" s="22">
        <v>156</v>
      </c>
      <c r="E66" s="42">
        <v>2240</v>
      </c>
      <c r="F66" s="42">
        <v>1020</v>
      </c>
      <c r="G66" s="42">
        <v>151</v>
      </c>
      <c r="H66" s="42">
        <v>2245</v>
      </c>
      <c r="I66" s="42">
        <v>885</v>
      </c>
      <c r="J66" s="42">
        <v>154</v>
      </c>
      <c r="K66" s="22">
        <v>2245</v>
      </c>
      <c r="L66" s="22">
        <v>885</v>
      </c>
    </row>
    <row r="67" spans="2:12" x14ac:dyDescent="0.25">
      <c r="B67" s="22">
        <v>64</v>
      </c>
      <c r="C67" s="22">
        <v>604</v>
      </c>
      <c r="D67" s="22">
        <v>158</v>
      </c>
      <c r="E67" s="42">
        <v>2230</v>
      </c>
      <c r="F67" s="42">
        <v>1040</v>
      </c>
      <c r="G67" s="42">
        <v>135</v>
      </c>
      <c r="H67" s="42">
        <v>2230</v>
      </c>
      <c r="I67" s="42">
        <v>892</v>
      </c>
      <c r="J67" s="42">
        <v>140</v>
      </c>
      <c r="K67" s="22">
        <v>2230</v>
      </c>
      <c r="L67" s="22">
        <v>895</v>
      </c>
    </row>
    <row r="68" spans="2:12" x14ac:dyDescent="0.25">
      <c r="B68" s="22">
        <v>65</v>
      </c>
      <c r="C68" s="22">
        <v>605</v>
      </c>
      <c r="D68" s="22">
        <v>150</v>
      </c>
      <c r="E68" s="42">
        <v>2235</v>
      </c>
      <c r="F68" s="42">
        <v>1032</v>
      </c>
      <c r="G68" s="42">
        <v>154</v>
      </c>
      <c r="H68" s="42">
        <v>2245</v>
      </c>
      <c r="I68" s="42">
        <v>900</v>
      </c>
      <c r="J68" s="42">
        <v>150</v>
      </c>
      <c r="K68" s="22">
        <v>2245</v>
      </c>
      <c r="L68" s="22">
        <v>895</v>
      </c>
    </row>
    <row r="69" spans="2:12" x14ac:dyDescent="0.25">
      <c r="B69" s="22">
        <v>66</v>
      </c>
      <c r="C69" s="22">
        <v>606</v>
      </c>
      <c r="D69" s="22">
        <v>240</v>
      </c>
      <c r="E69" s="42">
        <v>2230</v>
      </c>
      <c r="F69" s="42">
        <v>1012</v>
      </c>
      <c r="G69" s="42">
        <v>158</v>
      </c>
      <c r="H69" s="42">
        <v>2220</v>
      </c>
      <c r="I69" s="42">
        <v>890</v>
      </c>
      <c r="J69" s="42">
        <v>151</v>
      </c>
      <c r="K69" s="22">
        <v>2225</v>
      </c>
      <c r="L69" s="22">
        <v>890</v>
      </c>
    </row>
    <row r="70" spans="2:12" x14ac:dyDescent="0.25">
      <c r="B70" s="22">
        <v>67</v>
      </c>
      <c r="C70" s="22">
        <v>607</v>
      </c>
      <c r="D70" s="22">
        <v>150</v>
      </c>
      <c r="E70" s="42">
        <v>2235</v>
      </c>
      <c r="F70" s="42">
        <v>1026</v>
      </c>
      <c r="G70" s="22">
        <v>170</v>
      </c>
      <c r="H70" s="22">
        <v>2240</v>
      </c>
      <c r="I70" s="22">
        <v>850</v>
      </c>
      <c r="J70" s="42">
        <v>162</v>
      </c>
      <c r="K70" s="22">
        <v>2240</v>
      </c>
      <c r="L70" s="22">
        <v>900</v>
      </c>
    </row>
    <row r="71" spans="2:12" x14ac:dyDescent="0.25">
      <c r="B71" s="22">
        <v>68</v>
      </c>
      <c r="C71" s="22">
        <v>608</v>
      </c>
      <c r="D71" s="22">
        <v>153</v>
      </c>
      <c r="E71" s="42">
        <v>2225</v>
      </c>
      <c r="F71" s="42">
        <v>1020</v>
      </c>
      <c r="G71" s="42">
        <v>152</v>
      </c>
      <c r="H71" s="42">
        <v>2235</v>
      </c>
      <c r="I71" s="42">
        <v>900</v>
      </c>
      <c r="J71" s="42">
        <v>158</v>
      </c>
      <c r="K71" s="22">
        <v>2235</v>
      </c>
      <c r="L71" s="22">
        <v>900</v>
      </c>
    </row>
    <row r="72" spans="2:12" x14ac:dyDescent="0.25">
      <c r="B72" s="22">
        <v>69</v>
      </c>
      <c r="C72" s="22">
        <v>609</v>
      </c>
      <c r="D72" s="22">
        <v>161</v>
      </c>
      <c r="E72" s="42">
        <v>2235</v>
      </c>
      <c r="F72" s="42">
        <v>1025</v>
      </c>
      <c r="G72" s="42">
        <v>153</v>
      </c>
      <c r="H72" s="42">
        <v>2230</v>
      </c>
      <c r="I72" s="42">
        <v>897</v>
      </c>
      <c r="J72" s="42">
        <v>150</v>
      </c>
      <c r="K72" s="22">
        <v>2225</v>
      </c>
      <c r="L72" s="22">
        <v>895</v>
      </c>
    </row>
    <row r="73" spans="2:12" x14ac:dyDescent="0.25">
      <c r="B73" s="22">
        <v>70</v>
      </c>
      <c r="C73" s="22">
        <v>610</v>
      </c>
      <c r="D73" s="22">
        <v>160</v>
      </c>
      <c r="E73" s="42">
        <v>2245</v>
      </c>
      <c r="F73" s="42">
        <v>1030</v>
      </c>
      <c r="G73" s="42">
        <v>165</v>
      </c>
      <c r="H73" s="42">
        <v>2240</v>
      </c>
      <c r="I73" s="42">
        <v>895</v>
      </c>
      <c r="J73" s="42">
        <v>147</v>
      </c>
      <c r="K73" s="22">
        <v>2245</v>
      </c>
      <c r="L73" s="22">
        <v>895</v>
      </c>
    </row>
    <row r="74" spans="2:12" x14ac:dyDescent="0.25">
      <c r="B74" s="22">
        <v>71</v>
      </c>
      <c r="C74" s="22">
        <v>611</v>
      </c>
      <c r="D74" s="22">
        <v>165</v>
      </c>
      <c r="E74" s="42">
        <v>2230</v>
      </c>
      <c r="F74" s="42">
        <v>1027</v>
      </c>
      <c r="G74" s="42">
        <v>153</v>
      </c>
      <c r="H74" s="42">
        <v>2235</v>
      </c>
      <c r="I74" s="42">
        <v>900</v>
      </c>
      <c r="J74" s="42">
        <v>108</v>
      </c>
      <c r="K74" s="22">
        <v>2235</v>
      </c>
      <c r="L74" s="22">
        <v>897</v>
      </c>
    </row>
    <row r="75" spans="2:12" x14ac:dyDescent="0.25">
      <c r="B75" s="22">
        <v>72</v>
      </c>
      <c r="C75" s="22">
        <v>612</v>
      </c>
      <c r="D75" s="22">
        <v>168</v>
      </c>
      <c r="E75" s="42">
        <v>2245</v>
      </c>
      <c r="F75" s="42">
        <v>1035</v>
      </c>
      <c r="G75" s="42">
        <v>158</v>
      </c>
      <c r="H75" s="42">
        <v>2240</v>
      </c>
      <c r="I75" s="42">
        <v>897</v>
      </c>
      <c r="J75" s="42">
        <v>114</v>
      </c>
      <c r="K75" s="22">
        <v>2245</v>
      </c>
      <c r="L75" s="22">
        <v>895</v>
      </c>
    </row>
    <row r="76" spans="2:12" x14ac:dyDescent="0.25">
      <c r="B76" s="22">
        <v>73</v>
      </c>
      <c r="C76" s="22">
        <v>701</v>
      </c>
      <c r="D76" s="22">
        <v>152</v>
      </c>
      <c r="E76" s="42">
        <v>2215</v>
      </c>
      <c r="F76" s="42">
        <v>1031</v>
      </c>
      <c r="G76" s="42">
        <v>151</v>
      </c>
      <c r="H76" s="42">
        <v>2215</v>
      </c>
      <c r="I76" s="42">
        <v>897</v>
      </c>
      <c r="J76" s="42">
        <v>140</v>
      </c>
      <c r="K76" s="22">
        <v>2215</v>
      </c>
      <c r="L76" s="22">
        <v>895</v>
      </c>
    </row>
    <row r="77" spans="2:12" x14ac:dyDescent="0.25">
      <c r="B77" s="22">
        <v>74</v>
      </c>
      <c r="C77" s="22">
        <v>702</v>
      </c>
      <c r="D77" s="22">
        <v>157</v>
      </c>
      <c r="E77" s="42">
        <v>2210</v>
      </c>
      <c r="F77" s="42">
        <v>1040</v>
      </c>
      <c r="G77" s="42">
        <v>149</v>
      </c>
      <c r="H77" s="42">
        <v>2230</v>
      </c>
      <c r="I77" s="42">
        <v>897</v>
      </c>
      <c r="J77" s="42">
        <v>145</v>
      </c>
      <c r="K77" s="22">
        <v>2230</v>
      </c>
      <c r="L77" s="22">
        <v>900</v>
      </c>
    </row>
    <row r="78" spans="2:12" x14ac:dyDescent="0.25">
      <c r="B78" s="22">
        <v>75</v>
      </c>
      <c r="C78" s="22">
        <v>703</v>
      </c>
      <c r="D78" s="22">
        <v>149</v>
      </c>
      <c r="E78" s="42">
        <v>2230</v>
      </c>
      <c r="F78" s="42">
        <v>1025</v>
      </c>
      <c r="G78" s="42">
        <v>147</v>
      </c>
      <c r="H78" s="42">
        <v>2230</v>
      </c>
      <c r="I78" s="42">
        <v>886</v>
      </c>
      <c r="J78" s="42">
        <v>149</v>
      </c>
      <c r="K78" s="22">
        <v>2210</v>
      </c>
      <c r="L78" s="22">
        <v>880</v>
      </c>
    </row>
    <row r="79" spans="2:12" x14ac:dyDescent="0.25">
      <c r="B79" s="22">
        <v>76</v>
      </c>
      <c r="C79" s="22">
        <v>704</v>
      </c>
      <c r="D79" s="22">
        <v>150</v>
      </c>
      <c r="E79" s="42">
        <v>2235</v>
      </c>
      <c r="F79" s="42">
        <v>1030</v>
      </c>
      <c r="G79" s="42">
        <v>155</v>
      </c>
      <c r="H79" s="42">
        <v>2245</v>
      </c>
      <c r="I79" s="42">
        <v>885</v>
      </c>
      <c r="J79" s="42">
        <v>142</v>
      </c>
      <c r="K79" s="22">
        <v>2245</v>
      </c>
      <c r="L79" s="22">
        <v>888</v>
      </c>
    </row>
    <row r="80" spans="2:12" x14ac:dyDescent="0.25">
      <c r="B80" s="22">
        <v>77</v>
      </c>
      <c r="C80" s="22">
        <v>705</v>
      </c>
      <c r="D80" s="22">
        <v>160</v>
      </c>
      <c r="E80" s="42">
        <v>2210</v>
      </c>
      <c r="F80" s="42">
        <v>1020</v>
      </c>
      <c r="G80" s="42">
        <v>151</v>
      </c>
      <c r="H80" s="42">
        <v>2210</v>
      </c>
      <c r="I80" s="42">
        <v>900</v>
      </c>
      <c r="J80" s="42">
        <v>151</v>
      </c>
      <c r="K80" s="22">
        <v>2210</v>
      </c>
      <c r="L80" s="22">
        <v>895</v>
      </c>
    </row>
    <row r="81" spans="2:12" x14ac:dyDescent="0.25">
      <c r="B81" s="22">
        <v>78</v>
      </c>
      <c r="C81" s="22">
        <v>706</v>
      </c>
      <c r="D81" s="22">
        <v>225</v>
      </c>
      <c r="E81" s="42">
        <v>2235</v>
      </c>
      <c r="F81" s="42">
        <v>1020</v>
      </c>
      <c r="G81" s="42">
        <v>173</v>
      </c>
      <c r="H81" s="42">
        <v>2230</v>
      </c>
      <c r="I81" s="42">
        <v>895</v>
      </c>
      <c r="J81" s="42">
        <v>142</v>
      </c>
      <c r="K81" s="22">
        <v>2225</v>
      </c>
      <c r="L81" s="22">
        <v>892</v>
      </c>
    </row>
    <row r="82" spans="2:12" x14ac:dyDescent="0.25">
      <c r="B82" s="22">
        <v>79</v>
      </c>
      <c r="C82" s="22">
        <v>707</v>
      </c>
      <c r="D82" s="22">
        <v>162</v>
      </c>
      <c r="E82" s="42">
        <v>2220</v>
      </c>
      <c r="F82" s="42">
        <v>1030</v>
      </c>
      <c r="G82" s="42">
        <v>175</v>
      </c>
      <c r="H82" s="42">
        <v>2230</v>
      </c>
      <c r="I82" s="42">
        <v>897</v>
      </c>
      <c r="J82" s="42">
        <v>148</v>
      </c>
      <c r="K82" s="22">
        <v>2235</v>
      </c>
      <c r="L82" s="22">
        <v>897</v>
      </c>
    </row>
    <row r="83" spans="2:12" x14ac:dyDescent="0.25">
      <c r="B83" s="22">
        <v>80</v>
      </c>
      <c r="C83" s="22">
        <v>708</v>
      </c>
      <c r="D83" s="22">
        <v>155</v>
      </c>
      <c r="E83" s="22">
        <v>2230</v>
      </c>
      <c r="F83" s="22">
        <v>1030</v>
      </c>
      <c r="G83" s="22">
        <v>150</v>
      </c>
      <c r="H83" s="22">
        <v>2230</v>
      </c>
      <c r="I83" s="22">
        <v>900</v>
      </c>
      <c r="J83" s="22">
        <v>155</v>
      </c>
      <c r="K83" s="22">
        <v>2230</v>
      </c>
      <c r="L83" s="22">
        <v>900</v>
      </c>
    </row>
    <row r="84" spans="2:12" x14ac:dyDescent="0.25">
      <c r="B84" s="22">
        <v>81</v>
      </c>
      <c r="C84" s="22">
        <v>709</v>
      </c>
      <c r="D84" s="22">
        <v>157</v>
      </c>
      <c r="E84" s="42">
        <v>2225</v>
      </c>
      <c r="F84" s="42">
        <v>1030</v>
      </c>
      <c r="G84" s="42">
        <v>158</v>
      </c>
      <c r="H84" s="42">
        <v>2210</v>
      </c>
      <c r="I84" s="42">
        <v>900</v>
      </c>
      <c r="J84" s="42">
        <v>144</v>
      </c>
      <c r="K84" s="22">
        <v>2205</v>
      </c>
      <c r="L84" s="22">
        <v>895</v>
      </c>
    </row>
    <row r="85" spans="2:12" x14ac:dyDescent="0.25">
      <c r="B85" s="22">
        <v>82</v>
      </c>
      <c r="C85" s="22">
        <v>710</v>
      </c>
      <c r="D85" s="22">
        <v>142</v>
      </c>
      <c r="E85" s="42">
        <v>2300</v>
      </c>
      <c r="F85" s="42">
        <v>1025</v>
      </c>
      <c r="G85" s="42"/>
      <c r="H85" s="42"/>
      <c r="I85" s="42"/>
      <c r="J85" s="42"/>
      <c r="K85" s="22"/>
      <c r="L85" s="22"/>
    </row>
    <row r="86" spans="2:12" x14ac:dyDescent="0.25">
      <c r="B86" s="22">
        <v>83</v>
      </c>
      <c r="C86" s="22">
        <v>711</v>
      </c>
      <c r="D86" s="22">
        <v>144</v>
      </c>
      <c r="E86" s="42">
        <v>2245</v>
      </c>
      <c r="F86" s="42">
        <v>1030</v>
      </c>
      <c r="G86" s="42">
        <v>151</v>
      </c>
      <c r="H86" s="42">
        <v>2250</v>
      </c>
      <c r="I86" s="42">
        <v>900</v>
      </c>
      <c r="J86" s="42">
        <v>112</v>
      </c>
      <c r="K86" s="22">
        <v>2250</v>
      </c>
      <c r="L86" s="22">
        <v>898</v>
      </c>
    </row>
    <row r="87" spans="2:12" x14ac:dyDescent="0.25">
      <c r="B87" s="55">
        <v>84</v>
      </c>
      <c r="C87" s="55">
        <v>712</v>
      </c>
      <c r="D87" s="22">
        <v>144</v>
      </c>
      <c r="E87" s="22">
        <v>2245</v>
      </c>
      <c r="F87" s="22">
        <v>1030</v>
      </c>
      <c r="G87" s="22">
        <v>148</v>
      </c>
      <c r="H87" s="22">
        <v>2225</v>
      </c>
      <c r="I87" s="22">
        <v>900</v>
      </c>
      <c r="J87" s="22">
        <v>112</v>
      </c>
      <c r="K87" s="22">
        <v>2220</v>
      </c>
      <c r="L87" s="22">
        <v>900</v>
      </c>
    </row>
    <row r="88" spans="2:12" x14ac:dyDescent="0.25">
      <c r="B88" s="22">
        <v>85</v>
      </c>
      <c r="C88" s="22">
        <v>801</v>
      </c>
      <c r="D88" s="22">
        <v>153</v>
      </c>
      <c r="E88" s="42">
        <v>2235</v>
      </c>
      <c r="F88" s="42">
        <v>1025</v>
      </c>
      <c r="G88" s="42">
        <v>150</v>
      </c>
      <c r="H88" s="42">
        <v>2250</v>
      </c>
      <c r="I88" s="42">
        <v>895</v>
      </c>
      <c r="J88" s="42">
        <v>146</v>
      </c>
      <c r="K88" s="22">
        <v>2250</v>
      </c>
      <c r="L88" s="22">
        <v>895</v>
      </c>
    </row>
    <row r="89" spans="2:12" x14ac:dyDescent="0.25">
      <c r="B89" s="22">
        <v>86</v>
      </c>
      <c r="C89" s="22">
        <v>802</v>
      </c>
      <c r="D89" s="22">
        <v>153</v>
      </c>
      <c r="E89" s="42">
        <v>2225</v>
      </c>
      <c r="F89" s="42">
        <v>1028</v>
      </c>
      <c r="G89" s="42">
        <v>150</v>
      </c>
      <c r="H89" s="42">
        <v>2210</v>
      </c>
      <c r="I89" s="42">
        <v>893</v>
      </c>
      <c r="J89" s="42">
        <v>145</v>
      </c>
      <c r="K89" s="22">
        <v>2220</v>
      </c>
      <c r="L89" s="22">
        <v>895</v>
      </c>
    </row>
    <row r="90" spans="2:12" x14ac:dyDescent="0.25">
      <c r="B90" s="22">
        <v>87</v>
      </c>
      <c r="C90" s="22">
        <v>803</v>
      </c>
      <c r="D90" s="22">
        <v>157</v>
      </c>
      <c r="E90" s="42">
        <v>2240</v>
      </c>
      <c r="F90" s="42">
        <v>1025</v>
      </c>
      <c r="G90" s="42">
        <v>136</v>
      </c>
      <c r="H90" s="42">
        <v>2245</v>
      </c>
      <c r="I90" s="42">
        <v>863</v>
      </c>
      <c r="J90" s="42">
        <v>138</v>
      </c>
      <c r="K90" s="22">
        <v>2245</v>
      </c>
      <c r="L90" s="22">
        <v>900</v>
      </c>
    </row>
    <row r="91" spans="2:12" x14ac:dyDescent="0.25">
      <c r="B91" s="22">
        <v>88</v>
      </c>
      <c r="C91" s="22">
        <v>804</v>
      </c>
      <c r="D91" s="22">
        <v>157</v>
      </c>
      <c r="E91" s="42">
        <v>2245</v>
      </c>
      <c r="F91" s="42">
        <v>1030</v>
      </c>
      <c r="G91" s="42">
        <v>148</v>
      </c>
      <c r="H91" s="42">
        <v>2245</v>
      </c>
      <c r="I91" s="42">
        <v>880</v>
      </c>
      <c r="J91" s="42">
        <v>143</v>
      </c>
      <c r="K91" s="22">
        <v>2245</v>
      </c>
      <c r="L91" s="22">
        <v>880</v>
      </c>
    </row>
    <row r="92" spans="2:12" x14ac:dyDescent="0.25">
      <c r="B92" s="22">
        <v>89</v>
      </c>
      <c r="C92" s="22">
        <v>805</v>
      </c>
      <c r="D92" s="22">
        <v>141</v>
      </c>
      <c r="E92" s="42">
        <v>2215</v>
      </c>
      <c r="F92" s="42">
        <v>1025</v>
      </c>
      <c r="G92" s="42">
        <v>146</v>
      </c>
      <c r="H92" s="42">
        <v>2220</v>
      </c>
      <c r="I92" s="42">
        <v>892</v>
      </c>
      <c r="J92" s="42">
        <v>153</v>
      </c>
      <c r="K92" s="22">
        <v>2220</v>
      </c>
      <c r="L92" s="22">
        <v>895</v>
      </c>
    </row>
    <row r="93" spans="2:12" x14ac:dyDescent="0.25">
      <c r="B93" s="22">
        <v>90</v>
      </c>
      <c r="C93" s="22">
        <v>806</v>
      </c>
      <c r="D93" s="22">
        <v>235</v>
      </c>
      <c r="E93" s="42">
        <v>2220</v>
      </c>
      <c r="F93" s="42">
        <v>1010</v>
      </c>
      <c r="G93" s="42">
        <v>144</v>
      </c>
      <c r="H93" s="42">
        <v>2230</v>
      </c>
      <c r="I93" s="42">
        <v>900</v>
      </c>
      <c r="J93" s="42">
        <v>144</v>
      </c>
      <c r="K93" s="22">
        <v>2230</v>
      </c>
      <c r="L93" s="22">
        <v>897</v>
      </c>
    </row>
    <row r="94" spans="2:12" x14ac:dyDescent="0.25">
      <c r="B94" s="22">
        <v>91</v>
      </c>
      <c r="C94" s="22">
        <v>807</v>
      </c>
      <c r="D94" s="22">
        <v>144</v>
      </c>
      <c r="E94" s="42">
        <v>2205</v>
      </c>
      <c r="F94" s="42">
        <v>1015</v>
      </c>
      <c r="G94" s="42">
        <v>185</v>
      </c>
      <c r="H94" s="42">
        <v>2240</v>
      </c>
      <c r="I94" s="42">
        <v>895</v>
      </c>
      <c r="J94" s="42">
        <v>150</v>
      </c>
      <c r="K94" s="22">
        <v>2240</v>
      </c>
      <c r="L94" s="22">
        <v>895</v>
      </c>
    </row>
    <row r="95" spans="2:12" x14ac:dyDescent="0.25">
      <c r="B95" s="22">
        <v>92</v>
      </c>
      <c r="C95" s="22">
        <v>808</v>
      </c>
      <c r="D95" s="22">
        <v>145</v>
      </c>
      <c r="E95" s="42">
        <v>2210</v>
      </c>
      <c r="F95" s="42">
        <v>1040</v>
      </c>
      <c r="G95" s="42">
        <v>139</v>
      </c>
      <c r="H95" s="42">
        <v>2230</v>
      </c>
      <c r="I95" s="42">
        <v>897</v>
      </c>
      <c r="J95" s="42">
        <v>148</v>
      </c>
      <c r="K95" s="22">
        <v>2225</v>
      </c>
      <c r="L95" s="22">
        <v>900</v>
      </c>
    </row>
    <row r="96" spans="2:12" x14ac:dyDescent="0.25">
      <c r="B96" s="22">
        <v>93</v>
      </c>
      <c r="C96" s="22">
        <v>809</v>
      </c>
      <c r="D96" s="22">
        <v>155</v>
      </c>
      <c r="E96" s="42">
        <v>2250</v>
      </c>
      <c r="F96" s="42">
        <v>1027</v>
      </c>
      <c r="G96" s="42">
        <v>160</v>
      </c>
      <c r="H96" s="42">
        <v>2250</v>
      </c>
      <c r="I96" s="42">
        <v>900</v>
      </c>
      <c r="J96" s="42">
        <v>151</v>
      </c>
      <c r="K96" s="22">
        <v>2250</v>
      </c>
      <c r="L96" s="22">
        <v>900</v>
      </c>
    </row>
    <row r="97" spans="2:12" x14ac:dyDescent="0.25">
      <c r="B97" s="22">
        <v>94</v>
      </c>
      <c r="C97" s="22">
        <v>810</v>
      </c>
      <c r="D97" s="22">
        <v>155</v>
      </c>
      <c r="E97" s="42">
        <v>2210</v>
      </c>
      <c r="F97" s="42">
        <v>1025</v>
      </c>
      <c r="G97" s="42">
        <v>168</v>
      </c>
      <c r="H97" s="42">
        <v>2225</v>
      </c>
      <c r="I97" s="42">
        <v>900</v>
      </c>
      <c r="J97" s="42">
        <v>155</v>
      </c>
      <c r="K97" s="22">
        <v>2225</v>
      </c>
      <c r="L97" s="22">
        <v>885</v>
      </c>
    </row>
    <row r="98" spans="2:12" x14ac:dyDescent="0.25">
      <c r="B98" s="22">
        <v>95</v>
      </c>
      <c r="C98" s="22">
        <v>811</v>
      </c>
      <c r="D98" s="22">
        <v>156</v>
      </c>
      <c r="E98" s="42">
        <v>2205</v>
      </c>
      <c r="F98" s="42">
        <v>1028</v>
      </c>
      <c r="G98" s="42">
        <v>150</v>
      </c>
      <c r="H98" s="42">
        <v>2200</v>
      </c>
      <c r="I98" s="42">
        <v>900</v>
      </c>
      <c r="J98" s="42">
        <v>112</v>
      </c>
      <c r="K98" s="22">
        <v>2200</v>
      </c>
      <c r="L98" s="22">
        <v>892</v>
      </c>
    </row>
    <row r="99" spans="2:12" x14ac:dyDescent="0.25">
      <c r="B99" s="22">
        <v>96</v>
      </c>
      <c r="C99" s="22">
        <v>812</v>
      </c>
      <c r="D99" s="22">
        <v>155</v>
      </c>
      <c r="E99" s="42">
        <v>2225</v>
      </c>
      <c r="F99" s="42">
        <v>1030</v>
      </c>
      <c r="G99" s="42">
        <v>155</v>
      </c>
      <c r="H99" s="42">
        <v>2225</v>
      </c>
      <c r="I99" s="42">
        <v>898</v>
      </c>
      <c r="J99" s="42">
        <v>121</v>
      </c>
      <c r="K99" s="22">
        <v>2220</v>
      </c>
      <c r="L99" s="22">
        <v>898</v>
      </c>
    </row>
    <row r="100" spans="2:12" x14ac:dyDescent="0.25">
      <c r="B100" s="22">
        <v>97</v>
      </c>
      <c r="C100" s="22">
        <v>901</v>
      </c>
      <c r="D100" s="22">
        <v>149</v>
      </c>
      <c r="E100" s="42">
        <v>2215</v>
      </c>
      <c r="F100" s="42">
        <v>1025</v>
      </c>
      <c r="G100" s="42">
        <v>160</v>
      </c>
      <c r="H100" s="42">
        <v>2230</v>
      </c>
      <c r="I100" s="42">
        <v>905</v>
      </c>
      <c r="J100" s="42">
        <v>145</v>
      </c>
      <c r="K100" s="22">
        <v>2230</v>
      </c>
      <c r="L100" s="22">
        <v>900</v>
      </c>
    </row>
    <row r="101" spans="2:12" x14ac:dyDescent="0.25">
      <c r="B101" s="22">
        <v>98</v>
      </c>
      <c r="C101" s="22">
        <v>902</v>
      </c>
      <c r="D101" s="22">
        <v>146</v>
      </c>
      <c r="E101" s="42">
        <v>2220</v>
      </c>
      <c r="F101" s="42">
        <v>1035</v>
      </c>
      <c r="G101" s="42">
        <v>173</v>
      </c>
      <c r="H101" s="42">
        <v>2230</v>
      </c>
      <c r="I101" s="42">
        <v>880</v>
      </c>
      <c r="J101" s="42">
        <v>142</v>
      </c>
      <c r="K101" s="22">
        <v>2230</v>
      </c>
      <c r="L101" s="22">
        <v>880</v>
      </c>
    </row>
    <row r="102" spans="2:12" x14ac:dyDescent="0.25">
      <c r="B102" s="22">
        <v>99</v>
      </c>
      <c r="C102" s="22">
        <v>903</v>
      </c>
      <c r="D102" s="22">
        <v>146</v>
      </c>
      <c r="E102" s="42">
        <v>2215</v>
      </c>
      <c r="F102" s="42">
        <v>1015</v>
      </c>
      <c r="G102" s="42">
        <v>150</v>
      </c>
      <c r="H102" s="42">
        <v>2225</v>
      </c>
      <c r="I102" s="42">
        <v>886</v>
      </c>
      <c r="J102" s="42">
        <v>145</v>
      </c>
      <c r="K102" s="22">
        <v>2220</v>
      </c>
      <c r="L102" s="22">
        <v>885</v>
      </c>
    </row>
    <row r="103" spans="2:12" x14ac:dyDescent="0.25">
      <c r="B103" s="22">
        <v>100</v>
      </c>
      <c r="C103" s="22">
        <v>904</v>
      </c>
      <c r="D103" s="22">
        <v>145</v>
      </c>
      <c r="E103" s="42">
        <v>2205</v>
      </c>
      <c r="F103" s="42">
        <v>1040</v>
      </c>
      <c r="G103" s="42">
        <v>151</v>
      </c>
      <c r="H103" s="42">
        <v>2225</v>
      </c>
      <c r="I103" s="42">
        <v>885</v>
      </c>
      <c r="J103" s="42">
        <v>142</v>
      </c>
      <c r="K103" s="22">
        <v>2225</v>
      </c>
      <c r="L103" s="22">
        <v>885</v>
      </c>
    </row>
    <row r="104" spans="2:12" x14ac:dyDescent="0.25">
      <c r="B104" s="22">
        <v>101</v>
      </c>
      <c r="C104" s="22">
        <v>905</v>
      </c>
      <c r="D104" s="22">
        <v>163</v>
      </c>
      <c r="E104" s="42">
        <v>2230</v>
      </c>
      <c r="F104" s="42">
        <v>1030</v>
      </c>
      <c r="G104" s="42">
        <v>144</v>
      </c>
      <c r="H104" s="42">
        <v>2240</v>
      </c>
      <c r="I104" s="42">
        <v>892</v>
      </c>
      <c r="J104" s="42">
        <v>150</v>
      </c>
      <c r="K104" s="22">
        <v>2240</v>
      </c>
      <c r="L104" s="22">
        <v>895</v>
      </c>
    </row>
    <row r="105" spans="2:12" x14ac:dyDescent="0.25">
      <c r="B105" s="22">
        <v>102</v>
      </c>
      <c r="C105" s="22">
        <v>906</v>
      </c>
      <c r="D105" s="22">
        <v>236</v>
      </c>
      <c r="E105" s="42">
        <v>2225</v>
      </c>
      <c r="F105" s="42">
        <v>1010</v>
      </c>
      <c r="G105" s="42">
        <v>152</v>
      </c>
      <c r="H105" s="42">
        <v>2210</v>
      </c>
      <c r="I105" s="42">
        <v>900</v>
      </c>
      <c r="J105" s="42">
        <v>155</v>
      </c>
      <c r="K105" s="22">
        <v>2210</v>
      </c>
      <c r="L105" s="22">
        <v>900</v>
      </c>
    </row>
    <row r="106" spans="2:12" x14ac:dyDescent="0.25">
      <c r="B106" s="22">
        <v>103</v>
      </c>
      <c r="C106" s="22">
        <v>907</v>
      </c>
      <c r="D106" s="22">
        <v>147</v>
      </c>
      <c r="E106" s="42">
        <v>2220</v>
      </c>
      <c r="F106" s="42">
        <v>1018</v>
      </c>
      <c r="G106" s="42">
        <v>167</v>
      </c>
      <c r="H106" s="42">
        <v>2215</v>
      </c>
      <c r="I106" s="42">
        <v>900</v>
      </c>
      <c r="J106" s="42">
        <v>144</v>
      </c>
      <c r="K106" s="22">
        <v>2220</v>
      </c>
      <c r="L106" s="22">
        <v>900</v>
      </c>
    </row>
    <row r="107" spans="2:12" x14ac:dyDescent="0.25">
      <c r="B107" s="22">
        <v>104</v>
      </c>
      <c r="C107" s="22">
        <v>908</v>
      </c>
      <c r="D107" s="22">
        <v>161</v>
      </c>
      <c r="E107" s="42">
        <v>2220</v>
      </c>
      <c r="F107" s="42">
        <v>1040</v>
      </c>
      <c r="G107" s="42">
        <v>142</v>
      </c>
      <c r="H107" s="42">
        <v>2220</v>
      </c>
      <c r="I107" s="42">
        <v>895</v>
      </c>
      <c r="J107" s="42">
        <v>140</v>
      </c>
      <c r="K107" s="22">
        <v>2220</v>
      </c>
      <c r="L107" s="22">
        <v>900</v>
      </c>
    </row>
    <row r="108" spans="2:12" x14ac:dyDescent="0.25">
      <c r="B108" s="22">
        <v>105</v>
      </c>
      <c r="C108" s="22">
        <v>909</v>
      </c>
      <c r="D108" s="22">
        <v>147</v>
      </c>
      <c r="E108" s="42">
        <v>2205</v>
      </c>
      <c r="F108" s="42">
        <v>1025</v>
      </c>
      <c r="G108" s="42">
        <v>163</v>
      </c>
      <c r="H108" s="42">
        <v>2215</v>
      </c>
      <c r="I108" s="42">
        <v>900</v>
      </c>
      <c r="J108" s="42">
        <v>149</v>
      </c>
      <c r="K108" s="22">
        <v>2205</v>
      </c>
      <c r="L108" s="22">
        <v>900</v>
      </c>
    </row>
    <row r="109" spans="2:12" x14ac:dyDescent="0.25">
      <c r="B109" s="22">
        <v>106</v>
      </c>
      <c r="C109" s="22">
        <v>910</v>
      </c>
      <c r="D109" s="22">
        <v>156</v>
      </c>
      <c r="E109" s="42">
        <v>2210</v>
      </c>
      <c r="F109" s="42">
        <v>1025</v>
      </c>
      <c r="G109" s="42">
        <v>163</v>
      </c>
      <c r="H109" s="42">
        <v>2220</v>
      </c>
      <c r="I109" s="42">
        <v>895</v>
      </c>
      <c r="J109" s="42">
        <v>156</v>
      </c>
      <c r="K109" s="22">
        <v>2220</v>
      </c>
      <c r="L109" s="22">
        <v>895</v>
      </c>
    </row>
    <row r="110" spans="2:12" x14ac:dyDescent="0.25">
      <c r="B110" s="22">
        <v>107</v>
      </c>
      <c r="C110" s="22">
        <v>911</v>
      </c>
      <c r="D110" s="22">
        <v>142</v>
      </c>
      <c r="E110" s="42">
        <v>2215</v>
      </c>
      <c r="F110" s="42">
        <v>1030</v>
      </c>
      <c r="G110" s="22">
        <v>150</v>
      </c>
      <c r="H110" s="22">
        <v>2205</v>
      </c>
      <c r="I110" s="22">
        <v>900</v>
      </c>
      <c r="J110" s="42"/>
      <c r="K110" s="22"/>
      <c r="L110" s="22"/>
    </row>
    <row r="111" spans="2:12" x14ac:dyDescent="0.25">
      <c r="B111" s="22">
        <v>108</v>
      </c>
      <c r="C111" s="22">
        <v>912</v>
      </c>
      <c r="D111" s="22">
        <v>148</v>
      </c>
      <c r="E111" s="42">
        <v>2300</v>
      </c>
      <c r="F111" s="42">
        <v>1027</v>
      </c>
      <c r="G111" s="42">
        <v>153</v>
      </c>
      <c r="H111" s="42">
        <v>2310</v>
      </c>
      <c r="I111" s="42">
        <v>900</v>
      </c>
      <c r="J111" s="42">
        <v>110</v>
      </c>
      <c r="K111" s="22">
        <v>2320</v>
      </c>
      <c r="L111" s="22">
        <v>895</v>
      </c>
    </row>
    <row r="112" spans="2:12" x14ac:dyDescent="0.25">
      <c r="B112" s="22">
        <v>109</v>
      </c>
      <c r="C112" s="22">
        <v>1001</v>
      </c>
      <c r="D112" s="22">
        <v>152</v>
      </c>
      <c r="E112" s="42">
        <v>2275</v>
      </c>
      <c r="F112" s="42">
        <v>1025</v>
      </c>
      <c r="G112" s="42">
        <v>154</v>
      </c>
      <c r="H112" s="42">
        <v>2230</v>
      </c>
      <c r="I112" s="42">
        <v>895</v>
      </c>
      <c r="J112" s="42">
        <v>146</v>
      </c>
      <c r="K112" s="22">
        <v>2235</v>
      </c>
      <c r="L112" s="22">
        <v>895</v>
      </c>
    </row>
    <row r="113" spans="2:12" x14ac:dyDescent="0.25">
      <c r="B113" s="22">
        <v>110</v>
      </c>
      <c r="C113" s="22">
        <v>1002</v>
      </c>
      <c r="D113" s="22">
        <v>154</v>
      </c>
      <c r="E113" s="42">
        <v>2290</v>
      </c>
      <c r="F113" s="42">
        <v>1020</v>
      </c>
      <c r="G113" s="42">
        <v>159</v>
      </c>
      <c r="H113" s="42">
        <v>2270</v>
      </c>
      <c r="I113" s="42">
        <v>890</v>
      </c>
      <c r="J113" s="42">
        <v>148</v>
      </c>
      <c r="K113" s="22">
        <v>2270</v>
      </c>
      <c r="L113" s="22">
        <v>885</v>
      </c>
    </row>
    <row r="114" spans="2:12" x14ac:dyDescent="0.25">
      <c r="B114" s="22">
        <v>111</v>
      </c>
      <c r="C114" s="22">
        <v>1003</v>
      </c>
      <c r="D114" s="22">
        <v>153</v>
      </c>
      <c r="E114" s="42">
        <v>2235</v>
      </c>
      <c r="F114" s="42">
        <v>1030</v>
      </c>
      <c r="G114" s="42">
        <v>142</v>
      </c>
      <c r="H114" s="42">
        <v>2250</v>
      </c>
      <c r="I114" s="42">
        <v>887</v>
      </c>
      <c r="J114" s="42">
        <v>148</v>
      </c>
      <c r="K114" s="22">
        <v>2255</v>
      </c>
      <c r="L114" s="22">
        <v>885</v>
      </c>
    </row>
    <row r="115" spans="2:12" x14ac:dyDescent="0.25">
      <c r="B115" s="22">
        <v>112</v>
      </c>
      <c r="C115" s="22">
        <v>1004</v>
      </c>
      <c r="D115" s="22">
        <v>158</v>
      </c>
      <c r="E115" s="42">
        <v>2240</v>
      </c>
      <c r="F115" s="42">
        <v>1025</v>
      </c>
      <c r="G115" s="42">
        <v>150</v>
      </c>
      <c r="H115" s="42">
        <v>2235</v>
      </c>
      <c r="I115" s="42">
        <v>885</v>
      </c>
      <c r="J115" s="42">
        <v>146</v>
      </c>
      <c r="K115" s="22">
        <v>2235</v>
      </c>
      <c r="L115" s="22">
        <v>887</v>
      </c>
    </row>
    <row r="116" spans="2:12" x14ac:dyDescent="0.25">
      <c r="B116" s="22">
        <v>113</v>
      </c>
      <c r="C116" s="22">
        <v>1005</v>
      </c>
      <c r="D116" s="22">
        <v>162</v>
      </c>
      <c r="E116" s="42">
        <v>2250</v>
      </c>
      <c r="F116" s="42">
        <v>1030</v>
      </c>
      <c r="G116" s="42">
        <v>147</v>
      </c>
      <c r="H116" s="42">
        <v>2250</v>
      </c>
      <c r="I116" s="42">
        <v>885</v>
      </c>
      <c r="J116" s="42">
        <v>151</v>
      </c>
      <c r="K116" s="22">
        <v>2250</v>
      </c>
      <c r="L116" s="22">
        <v>880</v>
      </c>
    </row>
    <row r="117" spans="2:12" x14ac:dyDescent="0.25">
      <c r="B117" s="22">
        <v>114</v>
      </c>
      <c r="C117" s="22">
        <v>1006</v>
      </c>
      <c r="D117" s="22">
        <v>232</v>
      </c>
      <c r="E117" s="42">
        <v>2240</v>
      </c>
      <c r="F117" s="42">
        <v>1030</v>
      </c>
      <c r="G117" s="42">
        <v>144</v>
      </c>
      <c r="H117" s="42">
        <v>2240</v>
      </c>
      <c r="I117" s="42">
        <v>895</v>
      </c>
      <c r="J117" s="42">
        <v>148</v>
      </c>
      <c r="K117" s="22">
        <v>2240</v>
      </c>
      <c r="L117" s="22">
        <v>895</v>
      </c>
    </row>
    <row r="118" spans="2:12" x14ac:dyDescent="0.25">
      <c r="B118" s="22">
        <v>115</v>
      </c>
      <c r="C118" s="22">
        <v>1007</v>
      </c>
      <c r="D118" s="22">
        <v>150</v>
      </c>
      <c r="E118" s="42">
        <v>2300</v>
      </c>
      <c r="F118" s="42">
        <v>1070</v>
      </c>
      <c r="G118" s="42">
        <v>190</v>
      </c>
      <c r="H118" s="42">
        <v>2300</v>
      </c>
      <c r="I118" s="42">
        <v>900</v>
      </c>
      <c r="J118" s="22">
        <v>140</v>
      </c>
      <c r="K118" s="22">
        <v>2230</v>
      </c>
      <c r="L118" s="22">
        <v>880</v>
      </c>
    </row>
    <row r="119" spans="2:12" x14ac:dyDescent="0.25">
      <c r="B119" s="22">
        <v>116</v>
      </c>
      <c r="C119" s="22">
        <v>1008</v>
      </c>
      <c r="D119" s="22">
        <v>155</v>
      </c>
      <c r="E119" s="22">
        <v>2225</v>
      </c>
      <c r="F119" s="22">
        <v>1065</v>
      </c>
      <c r="G119" s="42">
        <v>146</v>
      </c>
      <c r="H119" s="42">
        <v>2225</v>
      </c>
      <c r="I119" s="42">
        <v>900</v>
      </c>
      <c r="J119" s="42">
        <v>156</v>
      </c>
      <c r="K119" s="22">
        <v>2225</v>
      </c>
      <c r="L119" s="22">
        <v>891</v>
      </c>
    </row>
    <row r="120" spans="2:12" x14ac:dyDescent="0.25">
      <c r="B120" s="22">
        <v>117</v>
      </c>
      <c r="C120" s="22">
        <v>1009</v>
      </c>
      <c r="D120" s="22">
        <v>155</v>
      </c>
      <c r="E120" s="42">
        <v>2250</v>
      </c>
      <c r="F120" s="42">
        <v>1025</v>
      </c>
      <c r="G120" s="42">
        <v>180</v>
      </c>
      <c r="H120" s="42">
        <v>2235</v>
      </c>
      <c r="I120" s="42">
        <v>900</v>
      </c>
      <c r="J120" s="42">
        <v>144</v>
      </c>
      <c r="K120" s="22">
        <v>2240</v>
      </c>
      <c r="L120" s="22">
        <v>900</v>
      </c>
    </row>
    <row r="121" spans="2:12" x14ac:dyDescent="0.25">
      <c r="B121" s="22">
        <v>118</v>
      </c>
      <c r="C121" s="22">
        <v>1010</v>
      </c>
      <c r="D121" s="22">
        <v>168</v>
      </c>
      <c r="E121" s="42">
        <v>2235</v>
      </c>
      <c r="F121" s="42">
        <v>1030</v>
      </c>
      <c r="G121" s="42">
        <v>174</v>
      </c>
      <c r="H121" s="42">
        <v>2235</v>
      </c>
      <c r="I121" s="42">
        <v>892</v>
      </c>
      <c r="J121" s="42">
        <v>169</v>
      </c>
      <c r="K121" s="22">
        <v>2235</v>
      </c>
      <c r="L121" s="22">
        <v>895</v>
      </c>
    </row>
    <row r="122" spans="2:12" x14ac:dyDescent="0.25">
      <c r="B122" s="22">
        <v>119</v>
      </c>
      <c r="C122" s="22">
        <v>1011</v>
      </c>
      <c r="D122" s="22">
        <v>158</v>
      </c>
      <c r="E122" s="42">
        <v>2300</v>
      </c>
      <c r="F122" s="42">
        <v>1030</v>
      </c>
      <c r="G122" s="42">
        <v>147</v>
      </c>
      <c r="H122" s="42">
        <v>2260</v>
      </c>
      <c r="I122" s="42">
        <v>900</v>
      </c>
      <c r="J122" s="22">
        <v>135</v>
      </c>
      <c r="K122" s="22">
        <v>2220</v>
      </c>
      <c r="L122" s="22">
        <v>900</v>
      </c>
    </row>
    <row r="123" spans="2:12" x14ac:dyDescent="0.25">
      <c r="B123" s="22">
        <v>120</v>
      </c>
      <c r="C123" s="22">
        <v>1012</v>
      </c>
      <c r="D123" s="22">
        <v>149</v>
      </c>
      <c r="E123" s="42">
        <v>2230</v>
      </c>
      <c r="F123" s="42">
        <v>1025</v>
      </c>
      <c r="G123" s="42">
        <v>156</v>
      </c>
      <c r="H123" s="42">
        <v>2230</v>
      </c>
      <c r="I123" s="42">
        <v>895</v>
      </c>
      <c r="J123" s="42">
        <v>124</v>
      </c>
      <c r="K123" s="22">
        <v>2230</v>
      </c>
      <c r="L123" s="22">
        <v>895</v>
      </c>
    </row>
    <row r="124" spans="2:12" x14ac:dyDescent="0.25">
      <c r="B124" s="22">
        <v>121</v>
      </c>
      <c r="C124" s="22">
        <v>1101</v>
      </c>
      <c r="D124" s="22">
        <v>150</v>
      </c>
      <c r="E124" s="42">
        <v>2245</v>
      </c>
      <c r="F124" s="42">
        <v>1026</v>
      </c>
      <c r="G124" s="42">
        <v>158</v>
      </c>
      <c r="H124" s="42">
        <v>2250</v>
      </c>
      <c r="I124" s="42">
        <v>895</v>
      </c>
      <c r="J124" s="42">
        <v>147</v>
      </c>
      <c r="K124" s="22">
        <v>2255</v>
      </c>
      <c r="L124" s="22">
        <v>900</v>
      </c>
    </row>
    <row r="125" spans="2:12" x14ac:dyDescent="0.25">
      <c r="B125" s="22">
        <v>122</v>
      </c>
      <c r="C125" s="22">
        <v>1102</v>
      </c>
      <c r="D125" s="22">
        <v>147</v>
      </c>
      <c r="E125" s="42">
        <v>2300</v>
      </c>
      <c r="F125" s="42">
        <v>1030</v>
      </c>
      <c r="G125" s="42">
        <v>153</v>
      </c>
      <c r="H125" s="42">
        <v>2300</v>
      </c>
      <c r="I125" s="42">
        <v>885</v>
      </c>
      <c r="J125" s="42">
        <v>145</v>
      </c>
      <c r="K125" s="22">
        <v>2300</v>
      </c>
      <c r="L125" s="22">
        <v>885</v>
      </c>
    </row>
    <row r="126" spans="2:12" x14ac:dyDescent="0.25">
      <c r="B126" s="22">
        <v>123</v>
      </c>
      <c r="C126" s="22">
        <v>1103</v>
      </c>
      <c r="D126" s="22">
        <v>153</v>
      </c>
      <c r="E126" s="42">
        <v>2300</v>
      </c>
      <c r="F126" s="42">
        <v>1015</v>
      </c>
      <c r="G126" s="42">
        <v>146</v>
      </c>
      <c r="H126" s="42">
        <v>2300</v>
      </c>
      <c r="I126" s="42">
        <v>895</v>
      </c>
      <c r="J126" s="42">
        <v>150</v>
      </c>
      <c r="K126" s="22">
        <v>2300</v>
      </c>
      <c r="L126" s="22">
        <v>895</v>
      </c>
    </row>
    <row r="127" spans="2:12" x14ac:dyDescent="0.25">
      <c r="B127" s="22">
        <v>124</v>
      </c>
      <c r="C127" s="22">
        <v>1104</v>
      </c>
      <c r="D127" s="22">
        <v>146</v>
      </c>
      <c r="E127" s="42">
        <v>2225</v>
      </c>
      <c r="F127" s="42">
        <v>1030</v>
      </c>
      <c r="G127" s="42">
        <v>141</v>
      </c>
      <c r="H127" s="42">
        <v>2235</v>
      </c>
      <c r="I127" s="42">
        <v>872</v>
      </c>
      <c r="J127" s="42">
        <v>141</v>
      </c>
      <c r="K127" s="22">
        <v>2230</v>
      </c>
      <c r="L127" s="22">
        <v>875</v>
      </c>
    </row>
    <row r="128" spans="2:12" x14ac:dyDescent="0.25">
      <c r="B128" s="22">
        <v>125</v>
      </c>
      <c r="C128" s="22">
        <v>1105</v>
      </c>
      <c r="D128" s="22">
        <v>155</v>
      </c>
      <c r="E128" s="42">
        <v>2240</v>
      </c>
      <c r="F128" s="42">
        <v>1018</v>
      </c>
      <c r="G128" s="42">
        <v>145</v>
      </c>
      <c r="H128" s="42">
        <v>2240</v>
      </c>
      <c r="I128" s="42">
        <v>895</v>
      </c>
      <c r="J128" s="42">
        <v>147</v>
      </c>
      <c r="K128" s="22">
        <v>2245</v>
      </c>
      <c r="L128" s="22">
        <v>900</v>
      </c>
    </row>
    <row r="129" spans="2:12" x14ac:dyDescent="0.25">
      <c r="B129" s="22">
        <v>126</v>
      </c>
      <c r="C129" s="22">
        <v>1106</v>
      </c>
      <c r="D129" s="22">
        <v>225</v>
      </c>
      <c r="E129" s="42">
        <v>2235</v>
      </c>
      <c r="F129" s="42">
        <v>1013</v>
      </c>
      <c r="G129" s="42">
        <v>154</v>
      </c>
      <c r="H129" s="42">
        <v>2225</v>
      </c>
      <c r="I129" s="42">
        <v>892</v>
      </c>
      <c r="J129" s="42">
        <v>152</v>
      </c>
      <c r="K129" s="22">
        <v>2220</v>
      </c>
      <c r="L129" s="22">
        <v>890</v>
      </c>
    </row>
    <row r="130" spans="2:12" x14ac:dyDescent="0.25">
      <c r="B130" s="22">
        <v>127</v>
      </c>
      <c r="C130" s="22">
        <v>1107</v>
      </c>
      <c r="D130" s="22">
        <v>148</v>
      </c>
      <c r="E130" s="42">
        <v>2300</v>
      </c>
      <c r="F130" s="42">
        <v>1030</v>
      </c>
      <c r="G130" s="42">
        <v>182</v>
      </c>
      <c r="H130" s="42">
        <v>2300</v>
      </c>
      <c r="I130" s="42">
        <v>900</v>
      </c>
      <c r="J130" s="22">
        <v>160</v>
      </c>
      <c r="K130" s="22">
        <v>2240</v>
      </c>
      <c r="L130" s="22">
        <v>865</v>
      </c>
    </row>
    <row r="131" spans="2:12" x14ac:dyDescent="0.25">
      <c r="B131" s="22">
        <v>128</v>
      </c>
      <c r="C131" s="22">
        <v>1108</v>
      </c>
      <c r="D131" s="22">
        <v>160</v>
      </c>
      <c r="E131" s="42">
        <v>2260</v>
      </c>
      <c r="F131" s="42">
        <v>1025</v>
      </c>
      <c r="G131" s="42">
        <v>150</v>
      </c>
      <c r="H131" s="42">
        <v>2245</v>
      </c>
      <c r="I131" s="42">
        <v>897</v>
      </c>
      <c r="J131" s="42">
        <v>141</v>
      </c>
      <c r="K131" s="22">
        <v>2250</v>
      </c>
      <c r="L131" s="22">
        <v>900</v>
      </c>
    </row>
    <row r="132" spans="2:12" x14ac:dyDescent="0.25">
      <c r="B132" s="22">
        <v>129</v>
      </c>
      <c r="C132" s="22">
        <v>1109</v>
      </c>
      <c r="D132" s="22">
        <v>163</v>
      </c>
      <c r="E132" s="42">
        <v>2250</v>
      </c>
      <c r="F132" s="42">
        <v>1030</v>
      </c>
      <c r="G132" s="42">
        <v>157</v>
      </c>
      <c r="H132" s="42">
        <v>2240</v>
      </c>
      <c r="I132" s="42">
        <v>900</v>
      </c>
      <c r="J132" s="42">
        <v>146</v>
      </c>
      <c r="K132" s="22">
        <v>2240</v>
      </c>
      <c r="L132" s="22">
        <v>895</v>
      </c>
    </row>
    <row r="133" spans="2:12" x14ac:dyDescent="0.25">
      <c r="B133" s="22">
        <v>130</v>
      </c>
      <c r="C133" s="22">
        <v>1110</v>
      </c>
      <c r="D133" s="22">
        <v>156</v>
      </c>
      <c r="E133" s="42">
        <v>2300</v>
      </c>
      <c r="F133" s="42">
        <v>1025</v>
      </c>
      <c r="G133" s="42">
        <v>171</v>
      </c>
      <c r="H133" s="42">
        <v>2300</v>
      </c>
      <c r="I133" s="42">
        <v>893</v>
      </c>
      <c r="J133" s="42">
        <v>160</v>
      </c>
      <c r="K133" s="22">
        <v>2300</v>
      </c>
      <c r="L133" s="22">
        <v>893</v>
      </c>
    </row>
    <row r="134" spans="2:12" x14ac:dyDescent="0.25">
      <c r="B134" s="22">
        <v>131</v>
      </c>
      <c r="C134" s="22">
        <v>1111</v>
      </c>
      <c r="D134" s="22">
        <v>146</v>
      </c>
      <c r="E134" s="42">
        <v>2300</v>
      </c>
      <c r="F134" s="42">
        <v>1030</v>
      </c>
      <c r="G134" s="42">
        <v>157</v>
      </c>
      <c r="H134" s="42">
        <v>2300</v>
      </c>
      <c r="I134" s="42">
        <v>900</v>
      </c>
      <c r="J134" s="42"/>
      <c r="K134" s="22"/>
      <c r="L134" s="22"/>
    </row>
    <row r="135" spans="2:12" x14ac:dyDescent="0.25">
      <c r="B135" s="22">
        <v>132</v>
      </c>
      <c r="C135" s="22">
        <v>1112</v>
      </c>
      <c r="D135" s="22">
        <v>155</v>
      </c>
      <c r="E135" s="42">
        <v>2225</v>
      </c>
      <c r="F135" s="42">
        <v>1030</v>
      </c>
      <c r="G135" s="42">
        <v>137</v>
      </c>
      <c r="H135" s="42">
        <v>2245</v>
      </c>
      <c r="I135" s="42">
        <v>900</v>
      </c>
      <c r="J135" s="42"/>
      <c r="K135" s="22"/>
      <c r="L135" s="22"/>
    </row>
    <row r="136" spans="2:12" x14ac:dyDescent="0.25">
      <c r="B136" s="22">
        <v>133</v>
      </c>
      <c r="C136" s="22">
        <v>1201</v>
      </c>
      <c r="D136" s="22">
        <v>153</v>
      </c>
      <c r="E136" s="42">
        <v>2300</v>
      </c>
      <c r="F136" s="42">
        <v>1022</v>
      </c>
      <c r="G136" s="42">
        <v>166</v>
      </c>
      <c r="H136" s="42">
        <v>2300</v>
      </c>
      <c r="I136" s="42">
        <v>900</v>
      </c>
      <c r="J136" s="42">
        <v>140</v>
      </c>
      <c r="K136" s="22">
        <v>2300</v>
      </c>
      <c r="L136" s="22">
        <v>900</v>
      </c>
    </row>
    <row r="137" spans="2:12" x14ac:dyDescent="0.25">
      <c r="B137" s="22">
        <v>134</v>
      </c>
      <c r="C137" s="22">
        <v>1202</v>
      </c>
      <c r="D137" s="22">
        <v>147</v>
      </c>
      <c r="E137" s="42">
        <v>2300</v>
      </c>
      <c r="F137" s="42">
        <v>1025</v>
      </c>
      <c r="G137" s="42">
        <v>165</v>
      </c>
      <c r="H137" s="42">
        <v>2300</v>
      </c>
      <c r="I137" s="42">
        <v>890</v>
      </c>
      <c r="J137" s="42">
        <v>147</v>
      </c>
      <c r="K137" s="22">
        <v>2300</v>
      </c>
      <c r="L137" s="22">
        <v>885</v>
      </c>
    </row>
    <row r="138" spans="2:12" x14ac:dyDescent="0.25">
      <c r="B138" s="22">
        <v>135</v>
      </c>
      <c r="C138" s="22">
        <v>1203</v>
      </c>
      <c r="D138" s="22">
        <v>150</v>
      </c>
      <c r="E138" s="42">
        <v>2300</v>
      </c>
      <c r="F138" s="42">
        <v>1025</v>
      </c>
      <c r="G138" s="42">
        <v>149</v>
      </c>
      <c r="H138" s="42">
        <v>2300</v>
      </c>
      <c r="I138" s="42">
        <v>885</v>
      </c>
      <c r="J138" s="42">
        <v>149</v>
      </c>
      <c r="K138" s="22">
        <v>2300</v>
      </c>
      <c r="L138" s="22">
        <v>890</v>
      </c>
    </row>
    <row r="139" spans="2:12" x14ac:dyDescent="0.25">
      <c r="B139" s="22">
        <v>136</v>
      </c>
      <c r="C139" s="22">
        <v>1204</v>
      </c>
      <c r="D139" s="22">
        <v>150</v>
      </c>
      <c r="E139" s="42">
        <v>2300</v>
      </c>
      <c r="F139" s="42">
        <v>1030</v>
      </c>
      <c r="G139" s="42">
        <v>154</v>
      </c>
      <c r="H139" s="42">
        <v>2300</v>
      </c>
      <c r="I139" s="42">
        <v>885</v>
      </c>
      <c r="J139" s="42">
        <v>152</v>
      </c>
      <c r="K139" s="22">
        <v>2300</v>
      </c>
      <c r="L139" s="22">
        <v>895</v>
      </c>
    </row>
    <row r="140" spans="2:12" x14ac:dyDescent="0.25">
      <c r="B140" s="22">
        <v>137</v>
      </c>
      <c r="C140" s="22">
        <v>1205</v>
      </c>
      <c r="D140" s="22">
        <v>143</v>
      </c>
      <c r="E140" s="42">
        <v>2300</v>
      </c>
      <c r="F140" s="42">
        <v>1030</v>
      </c>
      <c r="G140" s="42">
        <v>152</v>
      </c>
      <c r="H140" s="42">
        <v>2300</v>
      </c>
      <c r="I140" s="42">
        <v>890</v>
      </c>
      <c r="J140" s="42">
        <v>150</v>
      </c>
      <c r="K140" s="22">
        <v>2300</v>
      </c>
      <c r="L140" s="22">
        <v>890</v>
      </c>
    </row>
    <row r="141" spans="2:12" x14ac:dyDescent="0.25">
      <c r="B141" s="22">
        <v>138</v>
      </c>
      <c r="C141" s="22">
        <v>1206</v>
      </c>
      <c r="D141" s="22">
        <v>216</v>
      </c>
      <c r="E141" s="42">
        <v>2320</v>
      </c>
      <c r="F141" s="42">
        <v>1025</v>
      </c>
      <c r="G141" s="42">
        <v>150</v>
      </c>
      <c r="H141" s="42">
        <v>2300</v>
      </c>
      <c r="I141" s="42">
        <v>900</v>
      </c>
      <c r="J141" s="42">
        <v>148</v>
      </c>
      <c r="K141" s="22">
        <v>2300</v>
      </c>
      <c r="L141" s="22">
        <v>900</v>
      </c>
    </row>
    <row r="142" spans="2:12" x14ac:dyDescent="0.25">
      <c r="B142" s="22">
        <v>139</v>
      </c>
      <c r="C142" s="22">
        <v>1207</v>
      </c>
      <c r="D142" s="22">
        <v>155</v>
      </c>
      <c r="E142" s="42">
        <v>2300</v>
      </c>
      <c r="F142" s="42">
        <v>1030</v>
      </c>
      <c r="G142" s="42">
        <v>180</v>
      </c>
      <c r="H142" s="42">
        <v>2300</v>
      </c>
      <c r="I142" s="42">
        <v>895</v>
      </c>
      <c r="J142" s="42">
        <v>150</v>
      </c>
      <c r="K142" s="22">
        <v>2300</v>
      </c>
      <c r="L142" s="22">
        <v>900</v>
      </c>
    </row>
    <row r="143" spans="2:12" x14ac:dyDescent="0.25">
      <c r="B143" s="22">
        <v>140</v>
      </c>
      <c r="C143" s="22">
        <v>1208</v>
      </c>
      <c r="D143" s="22">
        <v>140</v>
      </c>
      <c r="E143" s="42">
        <v>2230</v>
      </c>
      <c r="F143" s="42">
        <v>1030</v>
      </c>
      <c r="G143" s="42">
        <v>154</v>
      </c>
      <c r="H143" s="42">
        <v>2230</v>
      </c>
      <c r="I143" s="42">
        <v>898</v>
      </c>
      <c r="J143" s="42">
        <v>152</v>
      </c>
      <c r="K143" s="22">
        <v>2230</v>
      </c>
      <c r="L143" s="22">
        <v>900</v>
      </c>
    </row>
    <row r="144" spans="2:12" x14ac:dyDescent="0.25">
      <c r="B144" s="22">
        <v>141</v>
      </c>
      <c r="C144" s="22">
        <v>1209</v>
      </c>
      <c r="D144" s="22">
        <v>158</v>
      </c>
      <c r="E144" s="42">
        <v>2230</v>
      </c>
      <c r="F144" s="42">
        <v>1028</v>
      </c>
      <c r="G144" s="42">
        <v>161</v>
      </c>
      <c r="H144" s="42">
        <v>2230</v>
      </c>
      <c r="I144" s="42">
        <v>900</v>
      </c>
      <c r="J144" s="42">
        <v>148</v>
      </c>
      <c r="K144" s="22">
        <v>2225</v>
      </c>
      <c r="L144" s="22">
        <v>898</v>
      </c>
    </row>
    <row r="145" spans="2:12" x14ac:dyDescent="0.25">
      <c r="B145" s="22">
        <v>142</v>
      </c>
      <c r="C145" s="22">
        <v>1210</v>
      </c>
      <c r="D145" s="22">
        <v>170</v>
      </c>
      <c r="E145" s="22">
        <v>2240</v>
      </c>
      <c r="F145" s="22">
        <v>1030</v>
      </c>
      <c r="G145" s="42"/>
      <c r="H145" s="42"/>
      <c r="I145" s="42"/>
      <c r="J145" s="42"/>
      <c r="K145" s="22"/>
      <c r="L145" s="22"/>
    </row>
    <row r="146" spans="2:12" x14ac:dyDescent="0.25">
      <c r="B146" s="22">
        <v>143</v>
      </c>
      <c r="C146" s="22">
        <v>1211</v>
      </c>
      <c r="D146" s="22">
        <v>156</v>
      </c>
      <c r="E146" s="42">
        <v>2300</v>
      </c>
      <c r="F146" s="42">
        <v>1026</v>
      </c>
      <c r="G146" s="42">
        <v>156</v>
      </c>
      <c r="H146" s="42">
        <v>2300</v>
      </c>
      <c r="I146" s="42">
        <v>900</v>
      </c>
      <c r="J146" s="42">
        <v>118</v>
      </c>
      <c r="K146" s="22">
        <v>2300</v>
      </c>
      <c r="L146" s="22">
        <v>900</v>
      </c>
    </row>
    <row r="147" spans="2:12" x14ac:dyDescent="0.25">
      <c r="B147" s="22">
        <v>144</v>
      </c>
      <c r="C147" s="22">
        <v>1212</v>
      </c>
      <c r="D147" s="22"/>
      <c r="E147" s="56" t="s">
        <v>9</v>
      </c>
      <c r="F147" s="42"/>
      <c r="G147" s="22">
        <v>115</v>
      </c>
      <c r="H147" s="22">
        <v>2240</v>
      </c>
      <c r="I147" s="22">
        <v>900</v>
      </c>
      <c r="J147" s="22">
        <v>144</v>
      </c>
      <c r="K147" s="22">
        <v>2235</v>
      </c>
      <c r="L147" s="22">
        <v>895</v>
      </c>
    </row>
    <row r="148" spans="2:12" x14ac:dyDescent="0.25">
      <c r="B148" s="22">
        <v>145</v>
      </c>
      <c r="C148" s="22">
        <v>1301</v>
      </c>
      <c r="D148" s="22">
        <v>155</v>
      </c>
      <c r="E148" s="42">
        <v>2250</v>
      </c>
      <c r="F148" s="42">
        <v>1025</v>
      </c>
      <c r="G148" s="42">
        <v>156</v>
      </c>
      <c r="H148" s="42">
        <v>2250</v>
      </c>
      <c r="I148" s="42">
        <v>882</v>
      </c>
      <c r="J148" s="42">
        <v>142</v>
      </c>
      <c r="K148" s="22">
        <v>2245</v>
      </c>
      <c r="L148" s="22">
        <v>885</v>
      </c>
    </row>
    <row r="149" spans="2:12" x14ac:dyDescent="0.25">
      <c r="B149" s="22">
        <v>146</v>
      </c>
      <c r="C149" s="22">
        <v>1302</v>
      </c>
      <c r="D149" s="22">
        <v>162</v>
      </c>
      <c r="E149" s="42">
        <v>2250</v>
      </c>
      <c r="F149" s="42">
        <v>1025</v>
      </c>
      <c r="G149" s="42">
        <v>152</v>
      </c>
      <c r="H149" s="42">
        <v>2230</v>
      </c>
      <c r="I149" s="42">
        <v>890</v>
      </c>
      <c r="J149" s="42">
        <v>145</v>
      </c>
      <c r="K149" s="22">
        <v>2230</v>
      </c>
      <c r="L149" s="22">
        <v>895</v>
      </c>
    </row>
    <row r="150" spans="2:12" x14ac:dyDescent="0.25">
      <c r="B150" s="22">
        <v>147</v>
      </c>
      <c r="C150" s="22">
        <v>1303</v>
      </c>
      <c r="D150" s="22">
        <v>150</v>
      </c>
      <c r="E150" s="42">
        <v>2240</v>
      </c>
      <c r="F150" s="42">
        <v>1027</v>
      </c>
      <c r="G150" s="42">
        <v>145</v>
      </c>
      <c r="H150" s="42">
        <v>2245</v>
      </c>
      <c r="I150" s="42">
        <v>892</v>
      </c>
      <c r="J150" s="42">
        <v>150</v>
      </c>
      <c r="K150" s="22">
        <v>2245</v>
      </c>
      <c r="L150" s="22">
        <v>890</v>
      </c>
    </row>
    <row r="151" spans="2:12" x14ac:dyDescent="0.25">
      <c r="B151" s="22">
        <v>148</v>
      </c>
      <c r="C151" s="22">
        <v>1304</v>
      </c>
      <c r="D151" s="22">
        <v>147</v>
      </c>
      <c r="E151" s="42">
        <v>2245</v>
      </c>
      <c r="F151" s="42">
        <v>1025</v>
      </c>
      <c r="G151" s="42">
        <v>146</v>
      </c>
      <c r="H151" s="42">
        <v>2225</v>
      </c>
      <c r="I151" s="42">
        <v>892</v>
      </c>
      <c r="J151" s="42">
        <v>150</v>
      </c>
      <c r="K151" s="22">
        <v>2225</v>
      </c>
      <c r="L151" s="22">
        <v>895</v>
      </c>
    </row>
    <row r="152" spans="2:12" x14ac:dyDescent="0.25">
      <c r="B152" s="22">
        <v>149</v>
      </c>
      <c r="C152" s="22">
        <v>1305</v>
      </c>
      <c r="D152" s="22">
        <v>145</v>
      </c>
      <c r="E152" s="22">
        <v>2235</v>
      </c>
      <c r="F152" s="22">
        <v>1020</v>
      </c>
      <c r="G152" s="42">
        <v>159</v>
      </c>
      <c r="H152" s="42">
        <v>2250</v>
      </c>
      <c r="I152" s="42">
        <v>885</v>
      </c>
      <c r="J152" s="42">
        <v>155</v>
      </c>
      <c r="K152" s="22">
        <v>2250</v>
      </c>
      <c r="L152" s="22">
        <v>885</v>
      </c>
    </row>
    <row r="153" spans="2:12" x14ac:dyDescent="0.25">
      <c r="B153" s="22">
        <v>150</v>
      </c>
      <c r="C153" s="22">
        <v>1306</v>
      </c>
      <c r="D153" s="22">
        <v>226</v>
      </c>
      <c r="E153" s="42">
        <v>2250</v>
      </c>
      <c r="F153" s="42">
        <v>1015</v>
      </c>
      <c r="G153" s="42">
        <v>156</v>
      </c>
      <c r="H153" s="42">
        <v>2245</v>
      </c>
      <c r="I153" s="42">
        <v>895</v>
      </c>
      <c r="J153" s="42">
        <v>142</v>
      </c>
      <c r="K153" s="22">
        <v>2245</v>
      </c>
      <c r="L153" s="22">
        <v>895</v>
      </c>
    </row>
    <row r="154" spans="2:12" x14ac:dyDescent="0.25">
      <c r="B154" s="22">
        <v>151</v>
      </c>
      <c r="C154" s="22">
        <v>1307</v>
      </c>
      <c r="D154" s="22">
        <v>145</v>
      </c>
      <c r="E154" s="42">
        <v>2300</v>
      </c>
      <c r="F154" s="42">
        <v>1025</v>
      </c>
      <c r="G154" s="42">
        <v>185</v>
      </c>
      <c r="H154" s="42">
        <v>2300</v>
      </c>
      <c r="I154" s="42">
        <v>895</v>
      </c>
      <c r="J154" s="42">
        <v>153</v>
      </c>
      <c r="K154" s="22">
        <v>2300</v>
      </c>
      <c r="L154" s="22">
        <v>895</v>
      </c>
    </row>
    <row r="155" spans="2:12" x14ac:dyDescent="0.25">
      <c r="B155" s="22">
        <v>152</v>
      </c>
      <c r="C155" s="22">
        <v>1308</v>
      </c>
      <c r="D155" s="22">
        <v>159</v>
      </c>
      <c r="E155" s="42">
        <v>2300</v>
      </c>
      <c r="F155" s="42">
        <v>1030</v>
      </c>
      <c r="G155" s="42">
        <v>151</v>
      </c>
      <c r="H155" s="42">
        <v>2300</v>
      </c>
      <c r="I155" s="42">
        <v>900</v>
      </c>
      <c r="J155" s="42">
        <v>142</v>
      </c>
      <c r="K155" s="22">
        <v>2300</v>
      </c>
      <c r="L155" s="22">
        <v>900</v>
      </c>
    </row>
    <row r="156" spans="2:12" x14ac:dyDescent="0.25">
      <c r="B156" s="22">
        <v>153</v>
      </c>
      <c r="C156" s="22">
        <v>1309</v>
      </c>
      <c r="D156" s="22">
        <v>160</v>
      </c>
      <c r="E156" s="42">
        <v>2250</v>
      </c>
      <c r="F156" s="42">
        <v>1027</v>
      </c>
      <c r="G156" s="42">
        <v>179</v>
      </c>
      <c r="H156" s="42">
        <v>2250</v>
      </c>
      <c r="I156" s="42">
        <v>900</v>
      </c>
      <c r="J156" s="42">
        <v>141</v>
      </c>
      <c r="K156" s="22">
        <v>2250</v>
      </c>
      <c r="L156" s="22">
        <v>900</v>
      </c>
    </row>
    <row r="157" spans="2:12" x14ac:dyDescent="0.25">
      <c r="B157" s="22">
        <v>154</v>
      </c>
      <c r="C157" s="22">
        <v>1310</v>
      </c>
      <c r="D157" s="22">
        <v>157</v>
      </c>
      <c r="E157" s="42">
        <v>2250</v>
      </c>
      <c r="F157" s="42">
        <v>1030</v>
      </c>
      <c r="G157" s="42">
        <v>181</v>
      </c>
      <c r="H157" s="42">
        <v>2235</v>
      </c>
      <c r="I157" s="42">
        <v>895</v>
      </c>
      <c r="J157" s="42">
        <v>154</v>
      </c>
      <c r="K157" s="22">
        <v>2235</v>
      </c>
      <c r="L157" s="22">
        <v>900</v>
      </c>
    </row>
    <row r="158" spans="2:12" x14ac:dyDescent="0.25">
      <c r="B158" s="22">
        <v>155</v>
      </c>
      <c r="C158" s="22">
        <v>1311</v>
      </c>
      <c r="D158" s="22">
        <v>168</v>
      </c>
      <c r="E158" s="42">
        <v>2300</v>
      </c>
      <c r="F158" s="42">
        <v>1030</v>
      </c>
      <c r="G158" s="42">
        <v>147</v>
      </c>
      <c r="H158" s="42">
        <v>2300</v>
      </c>
      <c r="I158" s="42">
        <v>900</v>
      </c>
      <c r="J158" s="42"/>
      <c r="K158" s="22"/>
      <c r="L158" s="22"/>
    </row>
    <row r="159" spans="2:12" x14ac:dyDescent="0.25">
      <c r="B159" s="22">
        <v>156</v>
      </c>
      <c r="C159" s="22">
        <v>1312</v>
      </c>
      <c r="D159" s="22">
        <v>175</v>
      </c>
      <c r="E159" s="42">
        <v>2300</v>
      </c>
      <c r="F159" s="42">
        <v>1030</v>
      </c>
      <c r="G159" s="42">
        <v>154</v>
      </c>
      <c r="H159" s="42">
        <v>2300</v>
      </c>
      <c r="I159" s="42">
        <v>903</v>
      </c>
      <c r="J159" s="42">
        <v>120</v>
      </c>
      <c r="K159" s="22">
        <v>2300</v>
      </c>
      <c r="L159" s="22">
        <v>900</v>
      </c>
    </row>
    <row r="160" spans="2:12" x14ac:dyDescent="0.25">
      <c r="B160" s="22">
        <v>157</v>
      </c>
      <c r="C160" s="22">
        <v>1401</v>
      </c>
      <c r="D160" s="22">
        <v>149</v>
      </c>
      <c r="E160" s="42">
        <v>2275</v>
      </c>
      <c r="F160" s="42">
        <v>1025</v>
      </c>
      <c r="G160" s="22">
        <v>150</v>
      </c>
      <c r="H160" s="22">
        <v>2260</v>
      </c>
      <c r="I160" s="22">
        <v>900</v>
      </c>
      <c r="J160" s="22">
        <v>147</v>
      </c>
      <c r="K160" s="22">
        <v>2270</v>
      </c>
      <c r="L160" s="22">
        <v>900</v>
      </c>
    </row>
    <row r="161" spans="2:12" x14ac:dyDescent="0.25">
      <c r="B161" s="22">
        <v>158</v>
      </c>
      <c r="C161" s="22">
        <v>1402</v>
      </c>
      <c r="D161" s="22">
        <v>143</v>
      </c>
      <c r="E161" s="42">
        <v>2270</v>
      </c>
      <c r="F161" s="42">
        <v>1030</v>
      </c>
      <c r="G161" s="22">
        <v>150</v>
      </c>
      <c r="H161" s="22">
        <v>2260</v>
      </c>
      <c r="I161" s="22">
        <v>900</v>
      </c>
      <c r="J161" s="22">
        <v>147</v>
      </c>
      <c r="K161" s="22">
        <v>2260</v>
      </c>
      <c r="L161" s="22">
        <v>900</v>
      </c>
    </row>
    <row r="162" spans="2:12" x14ac:dyDescent="0.25">
      <c r="B162" s="22">
        <v>159</v>
      </c>
      <c r="C162" s="22">
        <v>1403</v>
      </c>
      <c r="D162" s="22">
        <v>156</v>
      </c>
      <c r="E162" s="42">
        <v>2290</v>
      </c>
      <c r="F162" s="42">
        <v>1025</v>
      </c>
      <c r="G162" s="22">
        <v>140</v>
      </c>
      <c r="H162" s="22">
        <v>2290</v>
      </c>
      <c r="I162" s="22">
        <v>882</v>
      </c>
      <c r="J162" s="22">
        <v>150</v>
      </c>
      <c r="K162" s="22">
        <v>2285</v>
      </c>
      <c r="L162" s="22">
        <v>896</v>
      </c>
    </row>
    <row r="163" spans="2:12" x14ac:dyDescent="0.25">
      <c r="B163" s="22">
        <v>160</v>
      </c>
      <c r="C163" s="22">
        <v>1404</v>
      </c>
      <c r="D163" s="22">
        <v>150</v>
      </c>
      <c r="E163" s="42">
        <v>2285</v>
      </c>
      <c r="F163" s="42">
        <v>1027</v>
      </c>
      <c r="G163" s="22">
        <v>164</v>
      </c>
      <c r="H163" s="22">
        <v>2285</v>
      </c>
      <c r="I163" s="22">
        <v>900</v>
      </c>
      <c r="J163" s="22">
        <v>162</v>
      </c>
      <c r="K163" s="22">
        <v>2300</v>
      </c>
      <c r="L163" s="22">
        <v>892</v>
      </c>
    </row>
    <row r="164" spans="2:12" x14ac:dyDescent="0.25">
      <c r="B164" s="22">
        <v>161</v>
      </c>
      <c r="C164" s="22">
        <v>1405</v>
      </c>
      <c r="D164" s="22">
        <v>153</v>
      </c>
      <c r="E164" s="42">
        <v>2275</v>
      </c>
      <c r="F164" s="42">
        <v>1010</v>
      </c>
      <c r="G164" s="22">
        <v>161</v>
      </c>
      <c r="H164" s="22">
        <v>2280</v>
      </c>
      <c r="I164" s="22">
        <v>883</v>
      </c>
      <c r="J164" s="22">
        <v>144</v>
      </c>
      <c r="K164" s="22">
        <v>2275</v>
      </c>
      <c r="L164" s="22">
        <v>888</v>
      </c>
    </row>
    <row r="165" spans="2:12" x14ac:dyDescent="0.25">
      <c r="B165" s="22">
        <v>162</v>
      </c>
      <c r="C165" s="22">
        <v>1406</v>
      </c>
      <c r="D165" s="22">
        <v>220</v>
      </c>
      <c r="E165" s="42">
        <v>2262</v>
      </c>
      <c r="F165" s="42">
        <v>1025</v>
      </c>
      <c r="G165" s="42">
        <v>145</v>
      </c>
      <c r="H165" s="42">
        <v>2265</v>
      </c>
      <c r="I165" s="42">
        <v>900</v>
      </c>
      <c r="J165" s="42">
        <v>142</v>
      </c>
      <c r="K165" s="22">
        <v>2265</v>
      </c>
      <c r="L165" s="22">
        <v>900</v>
      </c>
    </row>
    <row r="166" spans="2:12" x14ac:dyDescent="0.25">
      <c r="B166" s="22">
        <v>163</v>
      </c>
      <c r="C166" s="22">
        <v>1407</v>
      </c>
      <c r="D166" s="22">
        <v>150</v>
      </c>
      <c r="E166" s="42">
        <v>2260</v>
      </c>
      <c r="F166" s="42">
        <v>1030</v>
      </c>
      <c r="G166" s="42">
        <v>175</v>
      </c>
      <c r="H166" s="42">
        <v>2255</v>
      </c>
      <c r="I166" s="42">
        <v>900</v>
      </c>
      <c r="J166" s="42">
        <v>151</v>
      </c>
      <c r="K166" s="22">
        <v>2255</v>
      </c>
      <c r="L166" s="22">
        <v>900</v>
      </c>
    </row>
    <row r="167" spans="2:12" x14ac:dyDescent="0.25">
      <c r="B167" s="22">
        <v>164</v>
      </c>
      <c r="C167" s="22">
        <v>1408</v>
      </c>
      <c r="D167" s="22">
        <v>143</v>
      </c>
      <c r="E167" s="42">
        <v>2265</v>
      </c>
      <c r="F167" s="42">
        <v>1025</v>
      </c>
      <c r="G167" s="42">
        <v>143</v>
      </c>
      <c r="H167" s="42">
        <v>2246</v>
      </c>
      <c r="I167" s="42">
        <v>900</v>
      </c>
      <c r="J167" s="42">
        <v>147</v>
      </c>
      <c r="K167" s="22">
        <v>2250</v>
      </c>
      <c r="L167" s="22">
        <v>900</v>
      </c>
    </row>
    <row r="168" spans="2:12" x14ac:dyDescent="0.25">
      <c r="B168" s="22">
        <v>165</v>
      </c>
      <c r="C168" s="22">
        <v>1409</v>
      </c>
      <c r="D168" s="22">
        <v>145</v>
      </c>
      <c r="E168" s="42">
        <v>2260</v>
      </c>
      <c r="F168" s="42">
        <v>1030</v>
      </c>
      <c r="G168" s="42">
        <v>145</v>
      </c>
      <c r="H168" s="42">
        <v>2260</v>
      </c>
      <c r="I168" s="42">
        <v>900</v>
      </c>
      <c r="J168" s="42">
        <v>115</v>
      </c>
      <c r="K168" s="22">
        <v>2260</v>
      </c>
      <c r="L168" s="22">
        <v>900</v>
      </c>
    </row>
    <row r="169" spans="2:12" x14ac:dyDescent="0.25">
      <c r="B169" s="22">
        <v>166</v>
      </c>
      <c r="C169" s="22">
        <v>1410</v>
      </c>
      <c r="D169" s="22">
        <v>150</v>
      </c>
      <c r="E169" s="42">
        <v>2260</v>
      </c>
      <c r="F169" s="42">
        <v>1025</v>
      </c>
      <c r="G169" s="42">
        <v>147</v>
      </c>
      <c r="H169" s="42">
        <v>2227</v>
      </c>
      <c r="I169" s="42">
        <v>895</v>
      </c>
      <c r="J169" s="42">
        <v>119</v>
      </c>
      <c r="K169" s="22">
        <v>2230</v>
      </c>
      <c r="L169" s="22">
        <v>900</v>
      </c>
    </row>
    <row r="170" spans="2:12" x14ac:dyDescent="0.25">
      <c r="B170" s="22">
        <v>167</v>
      </c>
      <c r="C170" s="22">
        <v>1411</v>
      </c>
      <c r="D170" s="22">
        <v>151</v>
      </c>
      <c r="E170" s="42">
        <v>2245</v>
      </c>
      <c r="F170" s="42">
        <v>1030</v>
      </c>
      <c r="G170" s="42">
        <v>165</v>
      </c>
      <c r="H170" s="42">
        <v>2245</v>
      </c>
      <c r="I170" s="42">
        <v>900</v>
      </c>
      <c r="J170" s="42">
        <v>151</v>
      </c>
      <c r="K170" s="22">
        <v>2245</v>
      </c>
      <c r="L170" s="22">
        <v>900</v>
      </c>
    </row>
    <row r="171" spans="2:12" x14ac:dyDescent="0.25">
      <c r="B171" s="22">
        <v>168</v>
      </c>
      <c r="C171" s="22">
        <v>1412</v>
      </c>
      <c r="D171" s="22">
        <v>155</v>
      </c>
      <c r="E171" s="42">
        <v>2245</v>
      </c>
      <c r="F171" s="42">
        <v>1030</v>
      </c>
      <c r="G171" s="42">
        <v>158</v>
      </c>
      <c r="H171" s="42">
        <v>2270</v>
      </c>
      <c r="I171" s="42">
        <v>900</v>
      </c>
      <c r="J171" s="42">
        <v>145</v>
      </c>
      <c r="K171" s="22">
        <v>2270</v>
      </c>
      <c r="L171" s="22">
        <v>895</v>
      </c>
    </row>
    <row r="172" spans="2:12" x14ac:dyDescent="0.25">
      <c r="B172" s="22">
        <v>169</v>
      </c>
      <c r="C172" s="22">
        <v>1501</v>
      </c>
      <c r="D172" s="22">
        <v>149</v>
      </c>
      <c r="E172" s="42">
        <v>2240</v>
      </c>
      <c r="F172" s="42">
        <v>1022</v>
      </c>
      <c r="G172" s="42">
        <v>159</v>
      </c>
      <c r="H172" s="42">
        <v>2225</v>
      </c>
      <c r="I172" s="42">
        <v>905</v>
      </c>
      <c r="J172" s="42">
        <v>146</v>
      </c>
      <c r="K172" s="22">
        <v>2225</v>
      </c>
      <c r="L172" s="22">
        <v>896</v>
      </c>
    </row>
    <row r="173" spans="2:12" x14ac:dyDescent="0.25">
      <c r="B173" s="22">
        <v>170</v>
      </c>
      <c r="C173" s="22">
        <v>1502</v>
      </c>
      <c r="D173" s="22">
        <v>147</v>
      </c>
      <c r="E173" s="42">
        <v>2240</v>
      </c>
      <c r="F173" s="42">
        <v>1020</v>
      </c>
      <c r="G173" s="42">
        <v>155</v>
      </c>
      <c r="H173" s="42">
        <v>2230</v>
      </c>
      <c r="I173" s="42">
        <v>900</v>
      </c>
      <c r="J173" s="42">
        <v>147</v>
      </c>
      <c r="K173" s="22">
        <v>2242</v>
      </c>
      <c r="L173" s="22">
        <v>900</v>
      </c>
    </row>
    <row r="174" spans="2:12" x14ac:dyDescent="0.25">
      <c r="B174" s="22">
        <v>171</v>
      </c>
      <c r="C174" s="22">
        <v>1503</v>
      </c>
      <c r="D174" s="22">
        <v>155</v>
      </c>
      <c r="E174" s="42">
        <v>2222</v>
      </c>
      <c r="F174" s="42">
        <v>1022</v>
      </c>
      <c r="G174" s="42">
        <v>158</v>
      </c>
      <c r="H174" s="42">
        <v>2240</v>
      </c>
      <c r="I174" s="42">
        <v>895</v>
      </c>
      <c r="J174" s="42">
        <v>150</v>
      </c>
      <c r="K174" s="22">
        <v>2250</v>
      </c>
      <c r="L174" s="22">
        <v>900</v>
      </c>
    </row>
    <row r="175" spans="2:12" x14ac:dyDescent="0.25">
      <c r="B175" s="22">
        <v>172</v>
      </c>
      <c r="C175" s="22">
        <v>1504</v>
      </c>
      <c r="D175" s="22">
        <v>146</v>
      </c>
      <c r="E175" s="42">
        <v>2225</v>
      </c>
      <c r="F175" s="42">
        <v>1020</v>
      </c>
      <c r="G175" s="42">
        <v>141</v>
      </c>
      <c r="H175" s="42">
        <v>2230</v>
      </c>
      <c r="I175" s="42">
        <v>893</v>
      </c>
      <c r="J175" s="42">
        <v>144</v>
      </c>
      <c r="K175" s="22">
        <v>2232</v>
      </c>
      <c r="L175" s="22">
        <v>890</v>
      </c>
    </row>
    <row r="176" spans="2:12" x14ac:dyDescent="0.25">
      <c r="B176" s="22">
        <v>173</v>
      </c>
      <c r="C176" s="22">
        <v>1505</v>
      </c>
      <c r="D176" s="22">
        <v>145</v>
      </c>
      <c r="E176" s="22">
        <v>2225</v>
      </c>
      <c r="F176" s="22">
        <v>1015</v>
      </c>
      <c r="G176" s="42">
        <v>143</v>
      </c>
      <c r="H176" s="42">
        <v>2230</v>
      </c>
      <c r="I176" s="42">
        <v>900</v>
      </c>
      <c r="J176" s="42">
        <v>144</v>
      </c>
      <c r="K176" s="22">
        <v>2220</v>
      </c>
      <c r="L176" s="22">
        <v>895</v>
      </c>
    </row>
    <row r="177" spans="2:12" x14ac:dyDescent="0.25">
      <c r="B177" s="22">
        <v>174</v>
      </c>
      <c r="C177" s="22">
        <v>1506</v>
      </c>
      <c r="D177" s="22">
        <v>230</v>
      </c>
      <c r="E177" s="42">
        <v>2235</v>
      </c>
      <c r="F177" s="42">
        <v>1025</v>
      </c>
      <c r="G177" s="22">
        <v>145</v>
      </c>
      <c r="H177" s="22">
        <v>2235</v>
      </c>
      <c r="I177" s="22">
        <v>890</v>
      </c>
      <c r="J177" s="42">
        <v>153</v>
      </c>
      <c r="K177" s="22">
        <v>2230</v>
      </c>
      <c r="L177" s="22">
        <v>892</v>
      </c>
    </row>
    <row r="178" spans="2:12" x14ac:dyDescent="0.25">
      <c r="B178" s="22">
        <v>175</v>
      </c>
      <c r="C178" s="22">
        <v>1507</v>
      </c>
      <c r="D178" s="22">
        <v>153</v>
      </c>
      <c r="E178" s="42">
        <v>2235</v>
      </c>
      <c r="F178" s="42">
        <v>1027</v>
      </c>
      <c r="G178" s="42">
        <v>188</v>
      </c>
      <c r="H178" s="42">
        <v>2245</v>
      </c>
      <c r="I178" s="42">
        <v>900</v>
      </c>
      <c r="J178" s="42">
        <v>147</v>
      </c>
      <c r="K178" s="22">
        <v>2245</v>
      </c>
      <c r="L178" s="22">
        <v>900</v>
      </c>
    </row>
    <row r="179" spans="2:12" x14ac:dyDescent="0.25">
      <c r="B179" s="22">
        <v>176</v>
      </c>
      <c r="C179" s="22">
        <v>1508</v>
      </c>
      <c r="D179" s="22">
        <v>152</v>
      </c>
      <c r="E179" s="42">
        <v>2230</v>
      </c>
      <c r="F179" s="42">
        <v>1050</v>
      </c>
      <c r="G179" s="42">
        <v>139</v>
      </c>
      <c r="H179" s="42">
        <v>2235</v>
      </c>
      <c r="I179" s="42">
        <v>900</v>
      </c>
      <c r="J179" s="42">
        <v>141</v>
      </c>
      <c r="K179" s="22">
        <v>2235</v>
      </c>
      <c r="L179" s="22">
        <v>900</v>
      </c>
    </row>
    <row r="180" spans="2:12" x14ac:dyDescent="0.25">
      <c r="B180" s="22">
        <v>177</v>
      </c>
      <c r="C180" s="22">
        <v>1509</v>
      </c>
      <c r="D180" s="22">
        <v>154</v>
      </c>
      <c r="E180" s="42">
        <v>2245</v>
      </c>
      <c r="F180" s="42">
        <v>1030</v>
      </c>
      <c r="G180" s="42">
        <v>140</v>
      </c>
      <c r="H180" s="42">
        <v>2240</v>
      </c>
      <c r="I180" s="42">
        <v>903</v>
      </c>
      <c r="J180" s="22">
        <v>115</v>
      </c>
      <c r="K180" s="22">
        <v>2240</v>
      </c>
      <c r="L180" s="22">
        <v>900</v>
      </c>
    </row>
    <row r="181" spans="2:12" x14ac:dyDescent="0.25">
      <c r="B181" s="22">
        <v>178</v>
      </c>
      <c r="C181" s="22">
        <v>1510</v>
      </c>
      <c r="D181" s="22">
        <v>148</v>
      </c>
      <c r="E181" s="42">
        <v>2240</v>
      </c>
      <c r="F181" s="42">
        <v>1026</v>
      </c>
      <c r="G181" s="42">
        <v>150</v>
      </c>
      <c r="H181" s="42">
        <v>2245</v>
      </c>
      <c r="I181" s="42">
        <v>900</v>
      </c>
      <c r="J181" s="42">
        <v>110</v>
      </c>
      <c r="K181" s="22">
        <v>2245</v>
      </c>
      <c r="L181" s="22">
        <v>900</v>
      </c>
    </row>
    <row r="182" spans="2:12" x14ac:dyDescent="0.25">
      <c r="B182" s="22">
        <v>179</v>
      </c>
      <c r="C182" s="22">
        <v>1511</v>
      </c>
      <c r="D182" s="22">
        <v>145</v>
      </c>
      <c r="E182" s="42">
        <v>2225</v>
      </c>
      <c r="F182" s="42">
        <v>1030</v>
      </c>
      <c r="G182" s="42">
        <v>155</v>
      </c>
      <c r="H182" s="42">
        <v>2235</v>
      </c>
      <c r="I182" s="42">
        <v>902</v>
      </c>
      <c r="J182" s="42">
        <v>147</v>
      </c>
      <c r="K182" s="22">
        <v>2225</v>
      </c>
      <c r="L182" s="22">
        <v>896</v>
      </c>
    </row>
    <row r="183" spans="2:12" x14ac:dyDescent="0.25">
      <c r="B183" s="22">
        <v>180</v>
      </c>
      <c r="C183" s="22">
        <v>1512</v>
      </c>
      <c r="D183" s="22">
        <v>145</v>
      </c>
      <c r="E183" s="42">
        <v>2235</v>
      </c>
      <c r="F183" s="42">
        <v>1025</v>
      </c>
      <c r="G183" s="42">
        <v>146</v>
      </c>
      <c r="H183" s="42">
        <v>2245</v>
      </c>
      <c r="I183" s="42">
        <v>900</v>
      </c>
      <c r="J183" s="42">
        <v>153</v>
      </c>
      <c r="K183" s="22">
        <v>2240</v>
      </c>
      <c r="L183" s="22">
        <v>900</v>
      </c>
    </row>
    <row r="184" spans="2:12" x14ac:dyDescent="0.25">
      <c r="B184" s="22">
        <v>181</v>
      </c>
      <c r="C184" s="22">
        <v>1601</v>
      </c>
      <c r="D184" s="22">
        <v>145</v>
      </c>
      <c r="E184" s="42">
        <v>2230</v>
      </c>
      <c r="F184" s="42">
        <v>1042</v>
      </c>
      <c r="G184" s="42">
        <v>150</v>
      </c>
      <c r="H184" s="42">
        <v>2230</v>
      </c>
      <c r="I184" s="42">
        <v>897</v>
      </c>
      <c r="J184" s="42">
        <v>152</v>
      </c>
      <c r="K184" s="22">
        <v>2235</v>
      </c>
      <c r="L184" s="22">
        <v>895</v>
      </c>
    </row>
    <row r="185" spans="2:12" x14ac:dyDescent="0.25">
      <c r="B185" s="22">
        <v>182</v>
      </c>
      <c r="C185" s="22">
        <v>1602</v>
      </c>
      <c r="D185" s="22">
        <v>146</v>
      </c>
      <c r="E185" s="42">
        <v>2225</v>
      </c>
      <c r="F185" s="42">
        <v>1015</v>
      </c>
      <c r="G185" s="42">
        <v>165</v>
      </c>
      <c r="H185" s="42">
        <v>2235</v>
      </c>
      <c r="I185" s="42">
        <v>895</v>
      </c>
      <c r="J185" s="42">
        <v>150</v>
      </c>
      <c r="K185" s="22">
        <v>2235</v>
      </c>
      <c r="L185" s="22">
        <v>888</v>
      </c>
    </row>
    <row r="186" spans="2:12" x14ac:dyDescent="0.25">
      <c r="B186" s="22">
        <v>183</v>
      </c>
      <c r="C186" s="22">
        <v>1603</v>
      </c>
      <c r="D186" s="22">
        <v>152</v>
      </c>
      <c r="E186" s="42">
        <v>2230</v>
      </c>
      <c r="F186" s="42">
        <v>1030</v>
      </c>
      <c r="G186" s="42">
        <v>146</v>
      </c>
      <c r="H186" s="42">
        <v>2245</v>
      </c>
      <c r="I186" s="42">
        <v>892</v>
      </c>
      <c r="J186" s="42">
        <v>153</v>
      </c>
      <c r="K186" s="22">
        <v>2250</v>
      </c>
      <c r="L186" s="22">
        <v>895</v>
      </c>
    </row>
    <row r="187" spans="2:12" x14ac:dyDescent="0.25">
      <c r="B187" s="22">
        <v>184</v>
      </c>
      <c r="C187" s="22">
        <v>1604</v>
      </c>
      <c r="D187" s="22">
        <v>147</v>
      </c>
      <c r="E187" s="42">
        <v>2240</v>
      </c>
      <c r="F187" s="42">
        <v>1025</v>
      </c>
      <c r="G187" s="42">
        <v>152</v>
      </c>
      <c r="H187" s="42">
        <v>2250</v>
      </c>
      <c r="I187" s="42">
        <v>885</v>
      </c>
      <c r="J187" s="42">
        <v>152</v>
      </c>
      <c r="K187" s="22">
        <v>2250</v>
      </c>
      <c r="L187" s="22">
        <v>883</v>
      </c>
    </row>
    <row r="188" spans="2:12" x14ac:dyDescent="0.25">
      <c r="B188" s="22">
        <v>185</v>
      </c>
      <c r="C188" s="22">
        <v>1605</v>
      </c>
      <c r="D188" s="22">
        <v>179</v>
      </c>
      <c r="E188" s="42">
        <v>2225</v>
      </c>
      <c r="F188" s="42">
        <v>1015</v>
      </c>
      <c r="G188" s="42">
        <v>152</v>
      </c>
      <c r="H188" s="42">
        <v>2240</v>
      </c>
      <c r="I188" s="42">
        <v>900</v>
      </c>
      <c r="J188" s="42">
        <v>152</v>
      </c>
      <c r="K188" s="22">
        <v>2240</v>
      </c>
      <c r="L188" s="22">
        <v>897</v>
      </c>
    </row>
    <row r="189" spans="2:12" x14ac:dyDescent="0.25">
      <c r="B189" s="22">
        <v>186</v>
      </c>
      <c r="C189" s="22">
        <v>1606</v>
      </c>
      <c r="D189" s="22">
        <v>215</v>
      </c>
      <c r="E189" s="42">
        <v>2235</v>
      </c>
      <c r="F189" s="42">
        <v>1025</v>
      </c>
      <c r="G189" s="22">
        <v>150</v>
      </c>
      <c r="H189" s="22">
        <v>2245</v>
      </c>
      <c r="I189" s="22">
        <v>885</v>
      </c>
      <c r="J189" s="42">
        <v>147</v>
      </c>
      <c r="K189" s="22">
        <v>2245</v>
      </c>
      <c r="L189" s="22">
        <v>890</v>
      </c>
    </row>
    <row r="190" spans="2:12" x14ac:dyDescent="0.25">
      <c r="B190" s="22">
        <v>187</v>
      </c>
      <c r="C190" s="22">
        <v>1607</v>
      </c>
      <c r="D190" s="22">
        <v>143</v>
      </c>
      <c r="E190" s="42">
        <v>2235</v>
      </c>
      <c r="F190" s="42">
        <v>1030</v>
      </c>
      <c r="G190" s="42">
        <v>153</v>
      </c>
      <c r="H190" s="42">
        <v>2240</v>
      </c>
      <c r="I190" s="42">
        <v>900</v>
      </c>
      <c r="J190" s="42">
        <v>148</v>
      </c>
      <c r="K190" s="22">
        <v>2240</v>
      </c>
      <c r="L190" s="22">
        <v>900</v>
      </c>
    </row>
    <row r="191" spans="2:12" x14ac:dyDescent="0.25">
      <c r="B191" s="22">
        <v>188</v>
      </c>
      <c r="C191" s="22">
        <v>1608</v>
      </c>
      <c r="D191" s="22">
        <v>156</v>
      </c>
      <c r="E191" s="42">
        <v>2260</v>
      </c>
      <c r="F191" s="42">
        <v>1020</v>
      </c>
      <c r="G191" s="42">
        <v>142</v>
      </c>
      <c r="H191" s="42">
        <v>2260</v>
      </c>
      <c r="I191" s="42">
        <v>900</v>
      </c>
      <c r="J191" s="42">
        <v>139</v>
      </c>
      <c r="K191" s="22">
        <v>2260</v>
      </c>
      <c r="L191" s="22">
        <v>897</v>
      </c>
    </row>
    <row r="192" spans="2:12" x14ac:dyDescent="0.25">
      <c r="B192" s="22">
        <v>189</v>
      </c>
      <c r="C192" s="22">
        <v>1609</v>
      </c>
      <c r="D192" s="22">
        <v>153</v>
      </c>
      <c r="E192" s="42">
        <v>2250</v>
      </c>
      <c r="F192" s="42">
        <v>1020</v>
      </c>
      <c r="G192" s="42">
        <v>145</v>
      </c>
      <c r="H192" s="42">
        <v>2255</v>
      </c>
      <c r="I192" s="42">
        <v>900</v>
      </c>
      <c r="J192" s="22">
        <v>120</v>
      </c>
      <c r="K192" s="22">
        <v>2250</v>
      </c>
      <c r="L192" s="22">
        <v>910</v>
      </c>
    </row>
    <row r="193" spans="2:12" x14ac:dyDescent="0.25">
      <c r="B193" s="22">
        <v>190</v>
      </c>
      <c r="C193" s="22">
        <v>1610</v>
      </c>
      <c r="D193" s="22">
        <v>152</v>
      </c>
      <c r="E193" s="42">
        <v>2260</v>
      </c>
      <c r="F193" s="42">
        <v>1030</v>
      </c>
      <c r="G193" s="42">
        <v>140</v>
      </c>
      <c r="H193" s="42">
        <v>2300</v>
      </c>
      <c r="I193" s="42">
        <v>900</v>
      </c>
      <c r="J193" s="42">
        <v>112</v>
      </c>
      <c r="K193" s="22">
        <v>2300</v>
      </c>
      <c r="L193" s="22">
        <v>900</v>
      </c>
    </row>
    <row r="194" spans="2:12" x14ac:dyDescent="0.25">
      <c r="B194" s="22">
        <v>191</v>
      </c>
      <c r="C194" s="22">
        <v>1611</v>
      </c>
      <c r="D194" s="22">
        <v>152</v>
      </c>
      <c r="E194" s="42">
        <v>2235</v>
      </c>
      <c r="F194" s="42">
        <v>1030</v>
      </c>
      <c r="G194" s="42">
        <v>150</v>
      </c>
      <c r="H194" s="42">
        <v>2255</v>
      </c>
      <c r="I194" s="42">
        <v>896</v>
      </c>
      <c r="J194" s="42">
        <v>144</v>
      </c>
      <c r="K194" s="22">
        <v>2255</v>
      </c>
      <c r="L194" s="22">
        <v>896</v>
      </c>
    </row>
    <row r="195" spans="2:12" x14ac:dyDescent="0.25">
      <c r="B195" s="22">
        <v>192</v>
      </c>
      <c r="C195" s="22">
        <v>1612</v>
      </c>
      <c r="D195" s="22">
        <v>152</v>
      </c>
      <c r="E195" s="42">
        <v>2240</v>
      </c>
      <c r="F195" s="42">
        <v>1030</v>
      </c>
      <c r="G195" s="42">
        <v>145</v>
      </c>
      <c r="H195" s="42">
        <v>2245</v>
      </c>
      <c r="I195" s="42">
        <v>900</v>
      </c>
      <c r="J195" s="42">
        <v>147</v>
      </c>
      <c r="K195" s="22">
        <v>2245</v>
      </c>
      <c r="L195" s="22">
        <v>900</v>
      </c>
    </row>
    <row r="196" spans="2:12" x14ac:dyDescent="0.25">
      <c r="B196" s="57"/>
      <c r="C196" s="57"/>
      <c r="D196" s="57"/>
      <c r="E196" s="58"/>
      <c r="F196" s="58"/>
      <c r="G196" s="58"/>
      <c r="H196" s="58"/>
      <c r="I196" s="58"/>
      <c r="J196" s="58"/>
      <c r="K196" s="57"/>
      <c r="L196" s="59"/>
    </row>
  </sheetData>
  <mergeCells count="5">
    <mergeCell ref="B2:B3"/>
    <mergeCell ref="C2:C3"/>
    <mergeCell ref="D2:F2"/>
    <mergeCell ref="G2:I2"/>
    <mergeCell ref="J2:L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5"/>
  <sheetViews>
    <sheetView workbookViewId="0">
      <selection activeCell="H15" sqref="H15"/>
    </sheetView>
  </sheetViews>
  <sheetFormatPr defaultRowHeight="15" x14ac:dyDescent="0.25"/>
  <sheetData>
    <row r="2" spans="1:6" x14ac:dyDescent="0.25">
      <c r="A2" s="65"/>
      <c r="B2" s="67"/>
      <c r="C2" s="67"/>
      <c r="D2" s="65"/>
    </row>
    <row r="3" spans="1:6" ht="15.75" x14ac:dyDescent="0.25">
      <c r="A3" s="65"/>
      <c r="B3" s="131" t="s">
        <v>27</v>
      </c>
      <c r="C3" s="131"/>
      <c r="D3" s="131"/>
      <c r="E3" s="131"/>
      <c r="F3" s="131"/>
    </row>
    <row r="4" spans="1:6" x14ac:dyDescent="0.25">
      <c r="A4" s="65"/>
      <c r="B4" s="132" t="s">
        <v>0</v>
      </c>
      <c r="C4" s="133" t="s">
        <v>1</v>
      </c>
      <c r="D4" s="132" t="s">
        <v>4</v>
      </c>
      <c r="E4" s="132" t="s">
        <v>5</v>
      </c>
      <c r="F4" s="132" t="s">
        <v>6</v>
      </c>
    </row>
    <row r="5" spans="1:6" x14ac:dyDescent="0.25">
      <c r="A5" s="65"/>
      <c r="B5" s="132"/>
      <c r="C5" s="133"/>
      <c r="D5" s="132"/>
      <c r="E5" s="132"/>
      <c r="F5" s="132"/>
    </row>
    <row r="6" spans="1:6" x14ac:dyDescent="0.25">
      <c r="A6" s="65"/>
      <c r="B6" s="53">
        <v>1</v>
      </c>
      <c r="C6" s="53">
        <v>305</v>
      </c>
      <c r="D6" s="53" t="s">
        <v>45</v>
      </c>
      <c r="E6" s="53"/>
      <c r="F6" s="53"/>
    </row>
    <row r="7" spans="1:6" x14ac:dyDescent="0.25">
      <c r="B7" s="53">
        <v>2</v>
      </c>
      <c r="C7" s="53">
        <v>306</v>
      </c>
      <c r="D7" s="53" t="s">
        <v>45</v>
      </c>
      <c r="E7" s="53" t="s">
        <v>45</v>
      </c>
      <c r="F7" s="53" t="s">
        <v>45</v>
      </c>
    </row>
    <row r="8" spans="1:6" x14ac:dyDescent="0.25">
      <c r="B8" s="53">
        <v>3</v>
      </c>
      <c r="C8" s="53">
        <v>307</v>
      </c>
      <c r="D8" s="53" t="s">
        <v>45</v>
      </c>
      <c r="E8" s="53" t="s">
        <v>45</v>
      </c>
      <c r="F8" s="53" t="s">
        <v>45</v>
      </c>
    </row>
    <row r="9" spans="1:6" x14ac:dyDescent="0.25">
      <c r="B9" s="53">
        <v>4</v>
      </c>
      <c r="C9" s="53">
        <v>710</v>
      </c>
      <c r="D9" s="53"/>
      <c r="E9" s="53">
        <v>1</v>
      </c>
      <c r="F9" s="53">
        <v>1</v>
      </c>
    </row>
    <row r="10" spans="1:6" x14ac:dyDescent="0.25">
      <c r="B10" s="53">
        <v>5</v>
      </c>
      <c r="C10" s="53">
        <v>911</v>
      </c>
      <c r="D10" s="53"/>
      <c r="E10" s="53"/>
      <c r="F10" s="53">
        <v>1</v>
      </c>
    </row>
    <row r="11" spans="1:6" x14ac:dyDescent="0.25">
      <c r="B11" s="53">
        <v>6</v>
      </c>
      <c r="C11" s="53">
        <v>1111</v>
      </c>
      <c r="D11" s="53"/>
      <c r="E11" s="53"/>
      <c r="F11" s="53">
        <v>1</v>
      </c>
    </row>
    <row r="12" spans="1:6" x14ac:dyDescent="0.25">
      <c r="B12" s="53">
        <v>7</v>
      </c>
      <c r="C12" s="53">
        <v>1112</v>
      </c>
      <c r="D12" s="53"/>
      <c r="E12" s="53"/>
      <c r="F12" s="53">
        <v>1</v>
      </c>
    </row>
    <row r="13" spans="1:6" x14ac:dyDescent="0.25">
      <c r="B13" s="53">
        <v>8</v>
      </c>
      <c r="C13" s="53">
        <v>1210</v>
      </c>
      <c r="D13" s="53"/>
      <c r="E13" s="53">
        <v>1</v>
      </c>
      <c r="F13" s="53">
        <v>1</v>
      </c>
    </row>
    <row r="14" spans="1:6" x14ac:dyDescent="0.25">
      <c r="B14" s="53">
        <v>9</v>
      </c>
      <c r="C14" s="53">
        <v>1311</v>
      </c>
      <c r="D14" s="66"/>
      <c r="E14" s="66"/>
      <c r="F14" s="66">
        <v>1</v>
      </c>
    </row>
    <row r="15" spans="1:6" x14ac:dyDescent="0.25">
      <c r="B15" s="60"/>
      <c r="C15" s="60"/>
      <c r="D15" s="45">
        <f>SUM(D6:D14)</f>
        <v>0</v>
      </c>
      <c r="E15" s="45">
        <f>SUM(E6:E14)</f>
        <v>2</v>
      </c>
      <c r="F15" s="45">
        <f>SUM(F6:F14)</f>
        <v>6</v>
      </c>
    </row>
  </sheetData>
  <mergeCells count="6">
    <mergeCell ref="B3:F3"/>
    <mergeCell ref="B4:B5"/>
    <mergeCell ref="C4:C5"/>
    <mergeCell ref="D4:D5"/>
    <mergeCell ref="E4:E5"/>
    <mergeCell ref="F4:F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B2:H20"/>
  <sheetViews>
    <sheetView zoomScale="80" zoomScaleNormal="80" workbookViewId="0">
      <selection activeCell="J13" sqref="J13"/>
    </sheetView>
  </sheetViews>
  <sheetFormatPr defaultRowHeight="15" x14ac:dyDescent="0.25"/>
  <sheetData>
    <row r="2" spans="2:8" ht="15.75" x14ac:dyDescent="0.25">
      <c r="B2" s="134" t="s">
        <v>29</v>
      </c>
      <c r="C2" s="134"/>
      <c r="D2" s="134"/>
      <c r="E2" s="134"/>
      <c r="F2" s="134"/>
      <c r="G2" s="134"/>
      <c r="H2" s="134"/>
    </row>
    <row r="3" spans="2:8" x14ac:dyDescent="0.25">
      <c r="B3" s="132" t="s">
        <v>0</v>
      </c>
      <c r="C3" s="133" t="s">
        <v>1</v>
      </c>
      <c r="D3" s="132" t="s">
        <v>4</v>
      </c>
      <c r="E3" s="132" t="s">
        <v>5</v>
      </c>
      <c r="F3" s="132" t="s">
        <v>6</v>
      </c>
      <c r="G3" s="132" t="s">
        <v>7</v>
      </c>
      <c r="H3" s="132" t="s">
        <v>8</v>
      </c>
    </row>
    <row r="4" spans="2:8" x14ac:dyDescent="0.25">
      <c r="B4" s="132"/>
      <c r="C4" s="133"/>
      <c r="D4" s="132"/>
      <c r="E4" s="132"/>
      <c r="F4" s="132"/>
      <c r="G4" s="132"/>
      <c r="H4" s="132"/>
    </row>
    <row r="5" spans="2:8" x14ac:dyDescent="0.25">
      <c r="B5" s="77">
        <v>12</v>
      </c>
      <c r="C5" s="77">
        <v>212</v>
      </c>
      <c r="D5" s="77"/>
      <c r="E5" s="77"/>
      <c r="F5" s="77">
        <v>1</v>
      </c>
      <c r="G5" s="77"/>
      <c r="H5" s="77"/>
    </row>
    <row r="6" spans="2:8" x14ac:dyDescent="0.25">
      <c r="B6" s="77">
        <v>13</v>
      </c>
      <c r="C6" s="78">
        <v>301</v>
      </c>
      <c r="D6" s="77">
        <v>1</v>
      </c>
      <c r="E6" s="77"/>
      <c r="F6" s="77"/>
      <c r="G6" s="77"/>
      <c r="H6" s="77"/>
    </row>
    <row r="7" spans="2:8" x14ac:dyDescent="0.25">
      <c r="B7" s="77">
        <v>20</v>
      </c>
      <c r="C7" s="78">
        <v>311</v>
      </c>
      <c r="D7" s="77"/>
      <c r="E7" s="77"/>
      <c r="F7" s="77"/>
      <c r="G7" s="77">
        <v>1</v>
      </c>
      <c r="H7" s="77"/>
    </row>
    <row r="8" spans="2:8" x14ac:dyDescent="0.25">
      <c r="B8" s="77">
        <v>25</v>
      </c>
      <c r="C8" s="78">
        <v>409</v>
      </c>
      <c r="D8" s="77">
        <v>1</v>
      </c>
      <c r="E8" s="77"/>
      <c r="F8" s="77"/>
      <c r="G8" s="77"/>
      <c r="H8" s="77"/>
    </row>
    <row r="9" spans="2:8" x14ac:dyDescent="0.25">
      <c r="B9" s="77">
        <v>51</v>
      </c>
      <c r="C9" s="78">
        <v>710</v>
      </c>
      <c r="D9" s="77"/>
      <c r="E9" s="77"/>
      <c r="F9" s="77"/>
      <c r="G9" s="77">
        <v>1</v>
      </c>
      <c r="H9" s="77">
        <v>1</v>
      </c>
    </row>
    <row r="10" spans="2:8" x14ac:dyDescent="0.25">
      <c r="B10" s="77">
        <v>57</v>
      </c>
      <c r="C10" s="78">
        <v>809</v>
      </c>
      <c r="D10" s="77"/>
      <c r="E10" s="77"/>
      <c r="F10" s="77"/>
      <c r="G10" s="77">
        <v>1</v>
      </c>
      <c r="H10" s="77"/>
    </row>
    <row r="11" spans="2:8" x14ac:dyDescent="0.25">
      <c r="B11" s="77">
        <v>64</v>
      </c>
      <c r="C11" s="78">
        <v>910</v>
      </c>
      <c r="D11" s="77"/>
      <c r="E11" s="77"/>
      <c r="F11" s="77">
        <v>1</v>
      </c>
      <c r="G11" s="77"/>
      <c r="H11" s="77"/>
    </row>
    <row r="12" spans="2:8" x14ac:dyDescent="0.25">
      <c r="B12" s="77">
        <v>66</v>
      </c>
      <c r="C12" s="78">
        <v>912</v>
      </c>
      <c r="D12" s="77"/>
      <c r="E12" s="77"/>
      <c r="F12" s="77"/>
      <c r="G12" s="77">
        <v>1</v>
      </c>
      <c r="H12" s="77"/>
    </row>
    <row r="13" spans="2:8" x14ac:dyDescent="0.25">
      <c r="B13" s="77">
        <v>71</v>
      </c>
      <c r="C13" s="78">
        <v>1005</v>
      </c>
      <c r="D13" s="77">
        <v>1</v>
      </c>
      <c r="E13" s="77"/>
      <c r="F13" s="77"/>
      <c r="G13" s="77"/>
      <c r="H13" s="77"/>
    </row>
    <row r="14" spans="2:8" x14ac:dyDescent="0.25">
      <c r="B14" s="77">
        <v>76</v>
      </c>
      <c r="C14" s="78">
        <v>1010</v>
      </c>
      <c r="D14" s="77"/>
      <c r="E14" s="77"/>
      <c r="F14" s="77">
        <v>1</v>
      </c>
      <c r="G14" s="77"/>
      <c r="H14" s="77"/>
    </row>
    <row r="15" spans="2:8" x14ac:dyDescent="0.25">
      <c r="B15" s="77">
        <v>82</v>
      </c>
      <c r="C15" s="78">
        <v>1109</v>
      </c>
      <c r="D15" s="77"/>
      <c r="E15" s="77"/>
      <c r="F15" s="77">
        <v>1</v>
      </c>
      <c r="G15" s="77"/>
      <c r="H15" s="77"/>
    </row>
    <row r="16" spans="2:8" x14ac:dyDescent="0.25">
      <c r="B16" s="77">
        <v>89</v>
      </c>
      <c r="C16" s="78">
        <v>1210</v>
      </c>
      <c r="D16" s="77"/>
      <c r="E16" s="78"/>
      <c r="F16" s="78"/>
      <c r="G16" s="77">
        <v>1</v>
      </c>
      <c r="H16" s="77">
        <v>1</v>
      </c>
    </row>
    <row r="17" spans="2:8" x14ac:dyDescent="0.25">
      <c r="B17" s="77">
        <v>90</v>
      </c>
      <c r="C17" s="78">
        <v>1211</v>
      </c>
      <c r="D17" s="77">
        <v>1</v>
      </c>
      <c r="E17" s="78"/>
      <c r="F17" s="78"/>
      <c r="G17" s="77"/>
      <c r="H17" s="77"/>
    </row>
    <row r="18" spans="2:8" x14ac:dyDescent="0.25">
      <c r="B18" s="77">
        <v>94</v>
      </c>
      <c r="C18" s="78">
        <v>1309</v>
      </c>
      <c r="D18" s="77"/>
      <c r="E18" s="78"/>
      <c r="F18" s="78">
        <v>1</v>
      </c>
      <c r="G18" s="77"/>
      <c r="H18" s="77"/>
    </row>
    <row r="19" spans="2:8" ht="15.75" thickBot="1" x14ac:dyDescent="0.3">
      <c r="B19" s="66">
        <v>130</v>
      </c>
      <c r="C19" s="68">
        <v>1609</v>
      </c>
      <c r="D19" s="66"/>
      <c r="E19" s="68"/>
      <c r="F19" s="68">
        <v>1</v>
      </c>
      <c r="G19" s="66"/>
      <c r="H19" s="66"/>
    </row>
    <row r="20" spans="2:8" ht="15.75" thickBot="1" x14ac:dyDescent="0.3">
      <c r="B20" s="147" t="s">
        <v>28</v>
      </c>
      <c r="C20" s="148"/>
      <c r="D20" s="79">
        <f>SUM(D5:D19)</f>
        <v>4</v>
      </c>
      <c r="E20" s="79">
        <f>SUM(E5:E19)</f>
        <v>0</v>
      </c>
      <c r="F20" s="79">
        <f>SUM(F5:F19)</f>
        <v>6</v>
      </c>
      <c r="G20" s="79">
        <f>SUM(G5:G19)</f>
        <v>5</v>
      </c>
      <c r="H20" s="69">
        <f>SUM(H5:H19)</f>
        <v>2</v>
      </c>
    </row>
  </sheetData>
  <mergeCells count="9">
    <mergeCell ref="B20:C20"/>
    <mergeCell ref="B2:H2"/>
    <mergeCell ref="B3:B4"/>
    <mergeCell ref="C3:C4"/>
    <mergeCell ref="D3:D4"/>
    <mergeCell ref="E3:E4"/>
    <mergeCell ref="F3:F4"/>
    <mergeCell ref="G3:G4"/>
    <mergeCell ref="H3:H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W214"/>
  <sheetViews>
    <sheetView zoomScaleNormal="100" workbookViewId="0">
      <pane xSplit="8070" ySplit="4200" topLeftCell="B13" activePane="bottomLeft"/>
      <selection sqref="A1:XFD1048576"/>
      <selection pane="topRight" activeCell="I1" sqref="I1"/>
      <selection pane="bottomLeft" activeCell="E18" sqref="E18:E19"/>
      <selection pane="bottomRight" activeCell="E16" sqref="E16"/>
    </sheetView>
  </sheetViews>
  <sheetFormatPr defaultRowHeight="15" x14ac:dyDescent="0.25"/>
  <cols>
    <col min="1" max="16384" width="9.140625" style="65"/>
  </cols>
  <sheetData>
    <row r="2" spans="2:23" x14ac:dyDescent="0.25">
      <c r="B2" s="136" t="s">
        <v>0</v>
      </c>
      <c r="C2" s="138" t="s">
        <v>1</v>
      </c>
      <c r="D2" s="140" t="s">
        <v>4</v>
      </c>
      <c r="E2" s="140"/>
      <c r="F2" s="140"/>
      <c r="G2" s="140"/>
      <c r="H2" s="140" t="s">
        <v>5</v>
      </c>
      <c r="I2" s="140"/>
      <c r="J2" s="140"/>
      <c r="K2" s="140"/>
      <c r="L2" s="140" t="s">
        <v>6</v>
      </c>
      <c r="M2" s="140"/>
      <c r="N2" s="140"/>
      <c r="O2" s="140"/>
      <c r="P2" s="140" t="s">
        <v>7</v>
      </c>
      <c r="Q2" s="140"/>
      <c r="R2" s="140"/>
      <c r="S2" s="140"/>
      <c r="T2" s="140" t="s">
        <v>8</v>
      </c>
      <c r="U2" s="140"/>
      <c r="V2" s="140"/>
      <c r="W2" s="140"/>
    </row>
    <row r="3" spans="2:23" x14ac:dyDescent="0.25">
      <c r="B3" s="137"/>
      <c r="C3" s="139"/>
      <c r="D3" s="83" t="s">
        <v>51</v>
      </c>
      <c r="E3" s="83" t="s">
        <v>52</v>
      </c>
      <c r="F3" s="83" t="s">
        <v>53</v>
      </c>
      <c r="G3" s="83" t="s">
        <v>54</v>
      </c>
      <c r="H3" s="83" t="s">
        <v>51</v>
      </c>
      <c r="I3" s="83" t="s">
        <v>52</v>
      </c>
      <c r="J3" s="83" t="s">
        <v>53</v>
      </c>
      <c r="K3" s="83" t="s">
        <v>54</v>
      </c>
      <c r="L3" s="83" t="s">
        <v>51</v>
      </c>
      <c r="M3" s="83" t="s">
        <v>52</v>
      </c>
      <c r="N3" s="83" t="s">
        <v>53</v>
      </c>
      <c r="O3" s="83" t="s">
        <v>54</v>
      </c>
      <c r="P3" s="83" t="s">
        <v>51</v>
      </c>
      <c r="Q3" s="83" t="s">
        <v>52</v>
      </c>
      <c r="R3" s="83" t="s">
        <v>53</v>
      </c>
      <c r="S3" s="83" t="s">
        <v>54</v>
      </c>
      <c r="T3" s="83" t="s">
        <v>51</v>
      </c>
      <c r="U3" s="83" t="s">
        <v>52</v>
      </c>
      <c r="V3" s="83" t="s">
        <v>53</v>
      </c>
      <c r="W3" s="83" t="s">
        <v>54</v>
      </c>
    </row>
    <row r="4" spans="2:23" x14ac:dyDescent="0.25">
      <c r="B4" s="83">
        <v>1</v>
      </c>
      <c r="C4" s="83">
        <v>101</v>
      </c>
      <c r="D4" s="83" t="s">
        <v>19</v>
      </c>
      <c r="E4" s="83" t="s">
        <v>19</v>
      </c>
      <c r="F4" s="83" t="s">
        <v>19</v>
      </c>
      <c r="G4" s="83" t="s">
        <v>19</v>
      </c>
      <c r="H4" s="83" t="s">
        <v>19</v>
      </c>
      <c r="I4" s="83" t="s">
        <v>19</v>
      </c>
      <c r="J4" s="83" t="s">
        <v>19</v>
      </c>
      <c r="K4" s="83" t="s">
        <v>19</v>
      </c>
      <c r="L4" s="83" t="s">
        <v>19</v>
      </c>
      <c r="M4" s="83" t="s">
        <v>19</v>
      </c>
      <c r="N4" s="83" t="s">
        <v>19</v>
      </c>
      <c r="O4" s="83" t="s">
        <v>19</v>
      </c>
      <c r="P4" s="83" t="s">
        <v>19</v>
      </c>
      <c r="Q4" s="83" t="s">
        <v>19</v>
      </c>
      <c r="R4" s="83" t="s">
        <v>19</v>
      </c>
      <c r="S4" s="83" t="s">
        <v>19</v>
      </c>
      <c r="T4" s="83" t="s">
        <v>19</v>
      </c>
      <c r="U4" s="83" t="s">
        <v>19</v>
      </c>
      <c r="V4" s="83" t="s">
        <v>19</v>
      </c>
      <c r="W4" s="83" t="s">
        <v>19</v>
      </c>
    </row>
    <row r="5" spans="2:23" x14ac:dyDescent="0.25">
      <c r="B5" s="83">
        <v>2</v>
      </c>
      <c r="C5" s="83">
        <v>102</v>
      </c>
      <c r="D5" s="83" t="s">
        <v>19</v>
      </c>
      <c r="E5" s="83" t="s">
        <v>19</v>
      </c>
      <c r="F5" s="83" t="s">
        <v>19</v>
      </c>
      <c r="G5" s="83" t="s">
        <v>19</v>
      </c>
      <c r="H5" s="83" t="s">
        <v>19</v>
      </c>
      <c r="I5" s="83" t="s">
        <v>19</v>
      </c>
      <c r="J5" s="83" t="s">
        <v>19</v>
      </c>
      <c r="K5" s="83" t="s">
        <v>19</v>
      </c>
      <c r="L5" s="83" t="s">
        <v>19</v>
      </c>
      <c r="M5" s="83" t="s">
        <v>19</v>
      </c>
      <c r="N5" s="83" t="s">
        <v>19</v>
      </c>
      <c r="O5" s="83" t="s">
        <v>19</v>
      </c>
      <c r="P5" s="83" t="s">
        <v>19</v>
      </c>
      <c r="Q5" s="83" t="s">
        <v>19</v>
      </c>
      <c r="R5" s="83" t="s">
        <v>19</v>
      </c>
      <c r="S5" s="83" t="s">
        <v>19</v>
      </c>
      <c r="T5" s="83" t="s">
        <v>19</v>
      </c>
      <c r="U5" s="83" t="s">
        <v>19</v>
      </c>
      <c r="V5" s="83" t="s">
        <v>19</v>
      </c>
      <c r="W5" s="83" t="s">
        <v>19</v>
      </c>
    </row>
    <row r="6" spans="2:23" x14ac:dyDescent="0.25">
      <c r="B6" s="83">
        <v>3</v>
      </c>
      <c r="C6" s="83">
        <v>103</v>
      </c>
      <c r="D6" s="83" t="s">
        <v>19</v>
      </c>
      <c r="E6" s="83" t="s">
        <v>19</v>
      </c>
      <c r="F6" s="83" t="s">
        <v>19</v>
      </c>
      <c r="G6" s="83" t="s">
        <v>19</v>
      </c>
      <c r="H6" s="83" t="s">
        <v>19</v>
      </c>
      <c r="I6" s="83" t="s">
        <v>19</v>
      </c>
      <c r="J6" s="83" t="s">
        <v>19</v>
      </c>
      <c r="K6" s="83" t="s">
        <v>19</v>
      </c>
      <c r="L6" s="83" t="s">
        <v>19</v>
      </c>
      <c r="M6" s="83" t="s">
        <v>19</v>
      </c>
      <c r="N6" s="83" t="s">
        <v>19</v>
      </c>
      <c r="O6" s="83" t="s">
        <v>19</v>
      </c>
      <c r="P6" s="83" t="s">
        <v>19</v>
      </c>
      <c r="Q6" s="83" t="s">
        <v>19</v>
      </c>
      <c r="R6" s="83" t="s">
        <v>19</v>
      </c>
      <c r="S6" s="83" t="s">
        <v>19</v>
      </c>
      <c r="T6" s="83" t="s">
        <v>19</v>
      </c>
      <c r="U6" s="83" t="s">
        <v>19</v>
      </c>
      <c r="V6" s="83" t="s">
        <v>19</v>
      </c>
      <c r="W6" s="83" t="s">
        <v>19</v>
      </c>
    </row>
    <row r="7" spans="2:23" x14ac:dyDescent="0.25">
      <c r="B7" s="83">
        <v>4</v>
      </c>
      <c r="C7" s="83">
        <v>104</v>
      </c>
      <c r="D7" s="83" t="s">
        <v>19</v>
      </c>
      <c r="E7" s="83" t="s">
        <v>19</v>
      </c>
      <c r="F7" s="83" t="s">
        <v>19</v>
      </c>
      <c r="G7" s="83" t="s">
        <v>19</v>
      </c>
      <c r="H7" s="83" t="s">
        <v>19</v>
      </c>
      <c r="I7" s="83" t="s">
        <v>19</v>
      </c>
      <c r="J7" s="83" t="s">
        <v>19</v>
      </c>
      <c r="K7" s="83" t="s">
        <v>19</v>
      </c>
      <c r="L7" s="83" t="s">
        <v>19</v>
      </c>
      <c r="M7" s="83" t="s">
        <v>19</v>
      </c>
      <c r="N7" s="83" t="s">
        <v>19</v>
      </c>
      <c r="O7" s="83" t="s">
        <v>19</v>
      </c>
      <c r="P7" s="83" t="s">
        <v>19</v>
      </c>
      <c r="Q7" s="83" t="s">
        <v>19</v>
      </c>
      <c r="R7" s="83" t="s">
        <v>19</v>
      </c>
      <c r="S7" s="83" t="s">
        <v>19</v>
      </c>
      <c r="T7" s="83" t="s">
        <v>19</v>
      </c>
      <c r="U7" s="83" t="s">
        <v>19</v>
      </c>
      <c r="V7" s="83" t="s">
        <v>19</v>
      </c>
      <c r="W7" s="83" t="s">
        <v>19</v>
      </c>
    </row>
    <row r="8" spans="2:23" x14ac:dyDescent="0.25">
      <c r="B8" s="83">
        <v>5</v>
      </c>
      <c r="C8" s="83">
        <v>105</v>
      </c>
      <c r="D8" s="83" t="s">
        <v>19</v>
      </c>
      <c r="E8" s="83" t="s">
        <v>19</v>
      </c>
      <c r="F8" s="83" t="s">
        <v>19</v>
      </c>
      <c r="G8" s="83" t="s">
        <v>19</v>
      </c>
      <c r="H8" s="83" t="s">
        <v>19</v>
      </c>
      <c r="I8" s="83" t="s">
        <v>19</v>
      </c>
      <c r="J8" s="83" t="s">
        <v>19</v>
      </c>
      <c r="K8" s="83" t="s">
        <v>19</v>
      </c>
      <c r="L8" s="83" t="s">
        <v>19</v>
      </c>
      <c r="M8" s="83" t="s">
        <v>19</v>
      </c>
      <c r="N8" s="83" t="s">
        <v>19</v>
      </c>
      <c r="O8" s="83" t="s">
        <v>19</v>
      </c>
      <c r="P8" s="83" t="s">
        <v>19</v>
      </c>
      <c r="Q8" s="83" t="s">
        <v>19</v>
      </c>
      <c r="R8" s="83" t="s">
        <v>19</v>
      </c>
      <c r="S8" s="83" t="s">
        <v>19</v>
      </c>
      <c r="T8" s="83" t="s">
        <v>19</v>
      </c>
      <c r="U8" s="83" t="s">
        <v>19</v>
      </c>
      <c r="V8" s="83" t="s">
        <v>19</v>
      </c>
      <c r="W8" s="83" t="s">
        <v>19</v>
      </c>
    </row>
    <row r="9" spans="2:23" x14ac:dyDescent="0.25">
      <c r="B9" s="83">
        <v>6</v>
      </c>
      <c r="C9" s="83">
        <v>106</v>
      </c>
      <c r="D9" s="83" t="s">
        <v>19</v>
      </c>
      <c r="E9" s="83" t="s">
        <v>19</v>
      </c>
      <c r="F9" s="83" t="s">
        <v>19</v>
      </c>
      <c r="G9" s="83" t="s">
        <v>19</v>
      </c>
      <c r="H9" s="83" t="s">
        <v>19</v>
      </c>
      <c r="I9" s="83" t="s">
        <v>19</v>
      </c>
      <c r="J9" s="83" t="s">
        <v>19</v>
      </c>
      <c r="K9" s="83" t="s">
        <v>19</v>
      </c>
      <c r="L9" s="83" t="s">
        <v>19</v>
      </c>
      <c r="M9" s="83" t="s">
        <v>19</v>
      </c>
      <c r="N9" s="83" t="s">
        <v>19</v>
      </c>
      <c r="O9" s="83" t="s">
        <v>19</v>
      </c>
      <c r="P9" s="83" t="s">
        <v>19</v>
      </c>
      <c r="Q9" s="83" t="s">
        <v>19</v>
      </c>
      <c r="R9" s="83" t="s">
        <v>19</v>
      </c>
      <c r="S9" s="83" t="s">
        <v>19</v>
      </c>
      <c r="T9" s="83" t="s">
        <v>19</v>
      </c>
      <c r="U9" s="83" t="s">
        <v>19</v>
      </c>
      <c r="V9" s="83" t="s">
        <v>19</v>
      </c>
      <c r="W9" s="83" t="s">
        <v>19</v>
      </c>
    </row>
    <row r="10" spans="2:23" x14ac:dyDescent="0.25">
      <c r="B10" s="83">
        <v>7</v>
      </c>
      <c r="C10" s="83">
        <v>107</v>
      </c>
      <c r="D10" s="83" t="s">
        <v>19</v>
      </c>
      <c r="E10" s="83" t="s">
        <v>19</v>
      </c>
      <c r="F10" s="83" t="s">
        <v>19</v>
      </c>
      <c r="G10" s="83" t="s">
        <v>19</v>
      </c>
      <c r="H10" s="83" t="s">
        <v>19</v>
      </c>
      <c r="I10" s="83" t="s">
        <v>19</v>
      </c>
      <c r="J10" s="83" t="s">
        <v>19</v>
      </c>
      <c r="K10" s="83" t="s">
        <v>19</v>
      </c>
      <c r="L10" s="83" t="s">
        <v>19</v>
      </c>
      <c r="M10" s="83" t="s">
        <v>19</v>
      </c>
      <c r="N10" s="83" t="s">
        <v>19</v>
      </c>
      <c r="O10" s="83" t="s">
        <v>19</v>
      </c>
      <c r="P10" s="83" t="s">
        <v>19</v>
      </c>
      <c r="Q10" s="83" t="s">
        <v>19</v>
      </c>
      <c r="R10" s="83" t="s">
        <v>19</v>
      </c>
      <c r="S10" s="83" t="s">
        <v>19</v>
      </c>
      <c r="T10" s="83" t="s">
        <v>19</v>
      </c>
      <c r="U10" s="83" t="s">
        <v>19</v>
      </c>
      <c r="V10" s="83" t="s">
        <v>19</v>
      </c>
      <c r="W10" s="83" t="s">
        <v>19</v>
      </c>
    </row>
    <row r="11" spans="2:23" x14ac:dyDescent="0.25">
      <c r="B11" s="83">
        <v>8</v>
      </c>
      <c r="C11" s="83">
        <v>108</v>
      </c>
      <c r="D11" s="83" t="s">
        <v>19</v>
      </c>
      <c r="E11" s="83" t="s">
        <v>19</v>
      </c>
      <c r="F11" s="83" t="s">
        <v>19</v>
      </c>
      <c r="G11" s="83" t="s">
        <v>19</v>
      </c>
      <c r="H11" s="83" t="s">
        <v>19</v>
      </c>
      <c r="I11" s="83" t="s">
        <v>19</v>
      </c>
      <c r="J11" s="83" t="s">
        <v>19</v>
      </c>
      <c r="K11" s="83" t="s">
        <v>19</v>
      </c>
      <c r="L11" s="83" t="s">
        <v>19</v>
      </c>
      <c r="M11" s="83" t="s">
        <v>19</v>
      </c>
      <c r="N11" s="83" t="s">
        <v>19</v>
      </c>
      <c r="O11" s="83" t="s">
        <v>19</v>
      </c>
      <c r="P11" s="83" t="s">
        <v>19</v>
      </c>
      <c r="Q11" s="83" t="s">
        <v>19</v>
      </c>
      <c r="R11" s="83" t="s">
        <v>19</v>
      </c>
      <c r="S11" s="83" t="s">
        <v>19</v>
      </c>
      <c r="T11" s="83" t="s">
        <v>19</v>
      </c>
      <c r="U11" s="83" t="s">
        <v>19</v>
      </c>
      <c r="V11" s="83" t="s">
        <v>19</v>
      </c>
      <c r="W11" s="83" t="s">
        <v>19</v>
      </c>
    </row>
    <row r="12" spans="2:23" x14ac:dyDescent="0.25">
      <c r="B12" s="83">
        <v>9</v>
      </c>
      <c r="C12" s="83">
        <v>109</v>
      </c>
      <c r="D12" s="83" t="s">
        <v>19</v>
      </c>
      <c r="E12" s="83" t="s">
        <v>19</v>
      </c>
      <c r="F12" s="83" t="s">
        <v>19</v>
      </c>
      <c r="G12" s="83" t="s">
        <v>19</v>
      </c>
      <c r="H12" s="83" t="s">
        <v>19</v>
      </c>
      <c r="I12" s="83" t="s">
        <v>19</v>
      </c>
      <c r="J12" s="83" t="s">
        <v>19</v>
      </c>
      <c r="K12" s="83" t="s">
        <v>19</v>
      </c>
      <c r="L12" s="83" t="s">
        <v>19</v>
      </c>
      <c r="M12" s="83" t="s">
        <v>19</v>
      </c>
      <c r="N12" s="83" t="s">
        <v>19</v>
      </c>
      <c r="O12" s="83" t="s">
        <v>19</v>
      </c>
      <c r="P12" s="83" t="s">
        <v>19</v>
      </c>
      <c r="Q12" s="83" t="s">
        <v>19</v>
      </c>
      <c r="R12" s="83" t="s">
        <v>19</v>
      </c>
      <c r="S12" s="83" t="s">
        <v>19</v>
      </c>
      <c r="T12" s="83" t="s">
        <v>19</v>
      </c>
      <c r="U12" s="83" t="s">
        <v>19</v>
      </c>
      <c r="V12" s="83" t="s">
        <v>19</v>
      </c>
      <c r="W12" s="83" t="s">
        <v>19</v>
      </c>
    </row>
    <row r="13" spans="2:23" x14ac:dyDescent="0.25">
      <c r="B13" s="83">
        <v>10</v>
      </c>
      <c r="C13" s="83">
        <v>110</v>
      </c>
      <c r="D13" s="83" t="s">
        <v>19</v>
      </c>
      <c r="E13" s="83" t="s">
        <v>19</v>
      </c>
      <c r="F13" s="83" t="s">
        <v>19</v>
      </c>
      <c r="G13" s="83" t="s">
        <v>19</v>
      </c>
      <c r="H13" s="83" t="s">
        <v>19</v>
      </c>
      <c r="I13" s="83" t="s">
        <v>19</v>
      </c>
      <c r="J13" s="83" t="s">
        <v>19</v>
      </c>
      <c r="K13" s="83" t="s">
        <v>19</v>
      </c>
      <c r="L13" s="83" t="s">
        <v>19</v>
      </c>
      <c r="M13" s="83" t="s">
        <v>19</v>
      </c>
      <c r="N13" s="83" t="s">
        <v>19</v>
      </c>
      <c r="O13" s="83" t="s">
        <v>19</v>
      </c>
      <c r="P13" s="83" t="s">
        <v>19</v>
      </c>
      <c r="Q13" s="83" t="s">
        <v>19</v>
      </c>
      <c r="R13" s="83" t="s">
        <v>19</v>
      </c>
      <c r="S13" s="83" t="s">
        <v>19</v>
      </c>
      <c r="T13" s="83" t="s">
        <v>19</v>
      </c>
      <c r="U13" s="83" t="s">
        <v>19</v>
      </c>
      <c r="V13" s="83" t="s">
        <v>19</v>
      </c>
      <c r="W13" s="83" t="s">
        <v>19</v>
      </c>
    </row>
    <row r="14" spans="2:23" x14ac:dyDescent="0.25">
      <c r="B14" s="83">
        <v>11</v>
      </c>
      <c r="C14" s="83">
        <v>111</v>
      </c>
      <c r="D14" s="83" t="s">
        <v>19</v>
      </c>
      <c r="E14" s="83" t="s">
        <v>19</v>
      </c>
      <c r="F14" s="83" t="s">
        <v>19</v>
      </c>
      <c r="G14" s="83" t="s">
        <v>19</v>
      </c>
      <c r="H14" s="83" t="s">
        <v>19</v>
      </c>
      <c r="I14" s="83" t="s">
        <v>19</v>
      </c>
      <c r="J14" s="83" t="s">
        <v>19</v>
      </c>
      <c r="K14" s="83" t="s">
        <v>19</v>
      </c>
      <c r="L14" s="83" t="s">
        <v>19</v>
      </c>
      <c r="M14" s="83" t="s">
        <v>19</v>
      </c>
      <c r="N14" s="83" t="s">
        <v>19</v>
      </c>
      <c r="O14" s="83" t="s">
        <v>19</v>
      </c>
      <c r="P14" s="83" t="s">
        <v>19</v>
      </c>
      <c r="Q14" s="83" t="s">
        <v>19</v>
      </c>
      <c r="R14" s="83" t="s">
        <v>19</v>
      </c>
      <c r="S14" s="83" t="s">
        <v>19</v>
      </c>
      <c r="T14" s="83" t="s">
        <v>19</v>
      </c>
      <c r="U14" s="83" t="s">
        <v>19</v>
      </c>
      <c r="V14" s="83" t="s">
        <v>19</v>
      </c>
      <c r="W14" s="83" t="s">
        <v>19</v>
      </c>
    </row>
    <row r="15" spans="2:23" x14ac:dyDescent="0.25">
      <c r="B15" s="83">
        <v>12</v>
      </c>
      <c r="C15" s="83">
        <v>112</v>
      </c>
      <c r="D15" s="83" t="s">
        <v>19</v>
      </c>
      <c r="E15" s="83" t="s">
        <v>19</v>
      </c>
      <c r="F15" s="83" t="s">
        <v>19</v>
      </c>
      <c r="G15" s="83" t="s">
        <v>19</v>
      </c>
      <c r="H15" s="83" t="s">
        <v>19</v>
      </c>
      <c r="I15" s="83" t="s">
        <v>19</v>
      </c>
      <c r="J15" s="83" t="s">
        <v>19</v>
      </c>
      <c r="K15" s="83" t="s">
        <v>19</v>
      </c>
      <c r="L15" s="83" t="s">
        <v>19</v>
      </c>
      <c r="M15" s="83" t="s">
        <v>19</v>
      </c>
      <c r="N15" s="83" t="s">
        <v>19</v>
      </c>
      <c r="O15" s="83" t="s">
        <v>19</v>
      </c>
      <c r="P15" s="83" t="s">
        <v>19</v>
      </c>
      <c r="Q15" s="83" t="s">
        <v>19</v>
      </c>
      <c r="R15" s="83" t="s">
        <v>19</v>
      </c>
      <c r="S15" s="83" t="s">
        <v>19</v>
      </c>
      <c r="T15" s="83" t="s">
        <v>19</v>
      </c>
      <c r="U15" s="83" t="s">
        <v>19</v>
      </c>
      <c r="V15" s="83" t="s">
        <v>19</v>
      </c>
      <c r="W15" s="83" t="s">
        <v>19</v>
      </c>
    </row>
    <row r="16" spans="2:23" x14ac:dyDescent="0.25">
      <c r="B16" s="83">
        <v>13</v>
      </c>
      <c r="C16" s="83">
        <v>201</v>
      </c>
      <c r="D16" s="83">
        <v>1</v>
      </c>
      <c r="E16" s="83"/>
      <c r="F16" s="83"/>
      <c r="G16" s="83"/>
      <c r="H16" s="83"/>
      <c r="I16" s="83"/>
      <c r="J16" s="83"/>
      <c r="K16" s="83"/>
      <c r="L16" s="83"/>
      <c r="M16" s="83"/>
      <c r="N16" s="83"/>
      <c r="O16" s="83"/>
      <c r="P16" s="83"/>
      <c r="Q16" s="83"/>
      <c r="R16" s="83"/>
      <c r="S16" s="83"/>
      <c r="T16" s="83"/>
      <c r="U16" s="83"/>
      <c r="V16" s="83"/>
      <c r="W16" s="83"/>
    </row>
    <row r="17" spans="2:23" x14ac:dyDescent="0.25">
      <c r="B17" s="83">
        <v>14</v>
      </c>
      <c r="C17" s="83">
        <v>202</v>
      </c>
      <c r="D17" s="83">
        <v>1</v>
      </c>
      <c r="E17" s="83"/>
      <c r="F17" s="83"/>
      <c r="G17" s="83"/>
      <c r="H17" s="83"/>
      <c r="I17" s="83"/>
      <c r="J17" s="83"/>
      <c r="K17" s="83"/>
      <c r="L17" s="83"/>
      <c r="M17" s="83"/>
      <c r="N17" s="83"/>
      <c r="O17" s="83"/>
      <c r="P17" s="83"/>
      <c r="Q17" s="83"/>
      <c r="R17" s="83"/>
      <c r="S17" s="83"/>
      <c r="T17" s="83"/>
      <c r="U17" s="83"/>
      <c r="V17" s="83"/>
      <c r="W17" s="83"/>
    </row>
    <row r="18" spans="2:23" x14ac:dyDescent="0.25">
      <c r="B18" s="83">
        <v>15</v>
      </c>
      <c r="C18" s="83">
        <v>203</v>
      </c>
      <c r="D18" s="83">
        <v>1</v>
      </c>
      <c r="E18" s="83"/>
      <c r="F18" s="83"/>
      <c r="G18" s="83"/>
      <c r="H18" s="83"/>
      <c r="I18" s="83"/>
      <c r="J18" s="83"/>
      <c r="K18" s="83"/>
      <c r="L18" s="83"/>
      <c r="M18" s="83"/>
      <c r="N18" s="83"/>
      <c r="O18" s="83"/>
      <c r="P18" s="83"/>
      <c r="Q18" s="83"/>
      <c r="R18" s="83"/>
      <c r="S18" s="83"/>
      <c r="T18" s="83"/>
      <c r="U18" s="83"/>
      <c r="V18" s="83"/>
      <c r="W18" s="83"/>
    </row>
    <row r="19" spans="2:23" x14ac:dyDescent="0.25">
      <c r="B19" s="83">
        <v>16</v>
      </c>
      <c r="C19" s="83">
        <v>204</v>
      </c>
      <c r="D19" s="83">
        <v>1</v>
      </c>
      <c r="E19" s="83"/>
      <c r="F19" s="83"/>
      <c r="G19" s="83"/>
      <c r="H19" s="83"/>
      <c r="I19" s="83"/>
      <c r="J19" s="83"/>
      <c r="K19" s="83"/>
      <c r="L19" s="83"/>
      <c r="M19" s="83"/>
      <c r="N19" s="83"/>
      <c r="O19" s="83"/>
      <c r="P19" s="83"/>
      <c r="Q19" s="83"/>
      <c r="R19" s="83"/>
      <c r="S19" s="83"/>
      <c r="T19" s="83"/>
      <c r="U19" s="83"/>
      <c r="V19" s="83"/>
      <c r="W19" s="83"/>
    </row>
    <row r="20" spans="2:23" x14ac:dyDescent="0.25">
      <c r="B20" s="83">
        <v>17</v>
      </c>
      <c r="C20" s="83">
        <v>205</v>
      </c>
      <c r="D20" s="83">
        <v>1</v>
      </c>
      <c r="E20" s="83"/>
      <c r="F20" s="83"/>
      <c r="G20" s="83"/>
      <c r="H20" s="83"/>
      <c r="I20" s="83"/>
      <c r="J20" s="83"/>
      <c r="K20" s="83"/>
      <c r="L20" s="83"/>
      <c r="M20" s="83"/>
      <c r="N20" s="83"/>
      <c r="O20" s="83"/>
      <c r="P20" s="83"/>
      <c r="Q20" s="83"/>
      <c r="R20" s="83"/>
      <c r="S20" s="83"/>
      <c r="T20" s="83"/>
      <c r="U20" s="83"/>
      <c r="V20" s="83"/>
      <c r="W20" s="83"/>
    </row>
    <row r="21" spans="2:23" x14ac:dyDescent="0.25">
      <c r="B21" s="83">
        <v>18</v>
      </c>
      <c r="C21" s="83">
        <v>206</v>
      </c>
      <c r="D21" s="83">
        <v>1</v>
      </c>
      <c r="E21" s="83"/>
      <c r="F21" s="83"/>
      <c r="G21" s="83"/>
      <c r="H21" s="83"/>
      <c r="I21" s="83"/>
      <c r="J21" s="83"/>
      <c r="K21" s="83"/>
      <c r="L21" s="83"/>
      <c r="M21" s="83"/>
      <c r="N21" s="83"/>
      <c r="O21" s="83"/>
      <c r="P21" s="83"/>
      <c r="Q21" s="83"/>
      <c r="R21" s="83"/>
      <c r="S21" s="83"/>
      <c r="T21" s="83"/>
      <c r="U21" s="83"/>
      <c r="V21" s="83"/>
      <c r="W21" s="83"/>
    </row>
    <row r="22" spans="2:23" x14ac:dyDescent="0.25">
      <c r="B22" s="83">
        <v>19</v>
      </c>
      <c r="C22" s="83">
        <v>207</v>
      </c>
      <c r="D22" s="83">
        <v>1</v>
      </c>
      <c r="E22" s="83"/>
      <c r="F22" s="83"/>
      <c r="G22" s="83"/>
      <c r="H22" s="83"/>
      <c r="I22" s="83"/>
      <c r="J22" s="83"/>
      <c r="K22" s="83"/>
      <c r="L22" s="83"/>
      <c r="M22" s="83"/>
      <c r="N22" s="83"/>
      <c r="O22" s="83"/>
      <c r="P22" s="83"/>
      <c r="Q22" s="83"/>
      <c r="R22" s="83"/>
      <c r="S22" s="83"/>
      <c r="T22" s="83"/>
      <c r="U22" s="83"/>
      <c r="V22" s="83"/>
      <c r="W22" s="83"/>
    </row>
    <row r="23" spans="2:23" x14ac:dyDescent="0.25">
      <c r="B23" s="83">
        <v>20</v>
      </c>
      <c r="C23" s="83">
        <v>208</v>
      </c>
      <c r="D23" s="83">
        <v>1</v>
      </c>
      <c r="E23" s="83"/>
      <c r="F23" s="83"/>
      <c r="G23" s="83"/>
      <c r="H23" s="83"/>
      <c r="I23" s="83"/>
      <c r="J23" s="83"/>
      <c r="K23" s="83"/>
      <c r="L23" s="83"/>
      <c r="M23" s="83"/>
      <c r="N23" s="83"/>
      <c r="O23" s="83"/>
      <c r="P23" s="83"/>
      <c r="Q23" s="83"/>
      <c r="R23" s="83"/>
      <c r="S23" s="83"/>
      <c r="T23" s="83"/>
      <c r="U23" s="83"/>
      <c r="V23" s="83"/>
      <c r="W23" s="83"/>
    </row>
    <row r="24" spans="2:23" x14ac:dyDescent="0.25">
      <c r="B24" s="83">
        <v>21</v>
      </c>
      <c r="C24" s="83">
        <v>209</v>
      </c>
      <c r="D24" s="83">
        <v>1</v>
      </c>
      <c r="E24" s="83"/>
      <c r="F24" s="83"/>
      <c r="G24" s="83"/>
      <c r="H24" s="83"/>
      <c r="I24" s="83"/>
      <c r="J24" s="83"/>
      <c r="K24" s="83"/>
      <c r="L24" s="83"/>
      <c r="M24" s="83"/>
      <c r="N24" s="83"/>
      <c r="O24" s="83"/>
      <c r="P24" s="83"/>
      <c r="Q24" s="83"/>
      <c r="R24" s="83"/>
      <c r="S24" s="83"/>
      <c r="T24" s="83"/>
      <c r="U24" s="83"/>
      <c r="V24" s="83"/>
      <c r="W24" s="83"/>
    </row>
    <row r="25" spans="2:23" x14ac:dyDescent="0.25">
      <c r="B25" s="83">
        <v>22</v>
      </c>
      <c r="C25" s="83">
        <v>210</v>
      </c>
      <c r="D25" s="83">
        <v>1</v>
      </c>
      <c r="E25" s="83"/>
      <c r="F25" s="83"/>
      <c r="G25" s="83"/>
      <c r="H25" s="83"/>
      <c r="I25" s="83"/>
      <c r="J25" s="83"/>
      <c r="K25" s="83"/>
      <c r="L25" s="83"/>
      <c r="M25" s="83"/>
      <c r="N25" s="83"/>
      <c r="O25" s="83"/>
      <c r="P25" s="83"/>
      <c r="Q25" s="83"/>
      <c r="R25" s="83"/>
      <c r="S25" s="83"/>
      <c r="T25" s="83"/>
      <c r="U25" s="83"/>
      <c r="V25" s="83"/>
      <c r="W25" s="83"/>
    </row>
    <row r="26" spans="2:23" x14ac:dyDescent="0.25">
      <c r="B26" s="83">
        <v>23</v>
      </c>
      <c r="C26" s="83">
        <v>211</v>
      </c>
      <c r="D26" s="83">
        <v>1</v>
      </c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</row>
    <row r="27" spans="2:23" x14ac:dyDescent="0.25">
      <c r="B27" s="83">
        <v>24</v>
      </c>
      <c r="C27" s="83">
        <v>212</v>
      </c>
      <c r="D27" s="83">
        <v>1</v>
      </c>
      <c r="E27" s="83"/>
      <c r="F27" s="83"/>
      <c r="G27" s="83"/>
      <c r="H27" s="83"/>
      <c r="I27" s="83"/>
      <c r="J27" s="83"/>
      <c r="K27" s="83"/>
      <c r="L27" s="83"/>
      <c r="M27" s="83"/>
      <c r="N27" s="83"/>
      <c r="O27" s="83"/>
      <c r="P27" s="83"/>
      <c r="Q27" s="83"/>
      <c r="R27" s="83"/>
      <c r="S27" s="83"/>
      <c r="T27" s="83"/>
      <c r="U27" s="83"/>
      <c r="V27" s="83"/>
      <c r="W27" s="83"/>
    </row>
    <row r="28" spans="2:23" x14ac:dyDescent="0.25">
      <c r="B28" s="83">
        <v>25</v>
      </c>
      <c r="C28" s="83">
        <v>301</v>
      </c>
      <c r="D28" s="83">
        <v>1</v>
      </c>
      <c r="E28" s="83"/>
      <c r="F28" s="83"/>
      <c r="G28" s="83"/>
      <c r="H28" s="83"/>
      <c r="I28" s="83"/>
      <c r="J28" s="83"/>
      <c r="K28" s="83"/>
      <c r="L28" s="83"/>
      <c r="M28" s="83"/>
      <c r="N28" s="83"/>
      <c r="O28" s="83"/>
      <c r="P28" s="83"/>
      <c r="Q28" s="83"/>
      <c r="R28" s="83"/>
      <c r="S28" s="83"/>
      <c r="T28" s="83"/>
      <c r="U28" s="83"/>
      <c r="V28" s="83"/>
      <c r="W28" s="83"/>
    </row>
    <row r="29" spans="2:23" x14ac:dyDescent="0.25">
      <c r="B29" s="83">
        <v>26</v>
      </c>
      <c r="C29" s="83">
        <v>302</v>
      </c>
      <c r="D29" s="83">
        <v>1</v>
      </c>
      <c r="E29" s="83"/>
      <c r="F29" s="83"/>
      <c r="G29" s="83"/>
      <c r="H29" s="83"/>
      <c r="I29" s="83"/>
      <c r="J29" s="83"/>
      <c r="K29" s="83"/>
      <c r="L29" s="83"/>
      <c r="M29" s="83"/>
      <c r="N29" s="83"/>
      <c r="O29" s="83"/>
      <c r="P29" s="83"/>
      <c r="Q29" s="83"/>
      <c r="R29" s="83"/>
      <c r="S29" s="83"/>
      <c r="T29" s="83"/>
      <c r="U29" s="83"/>
      <c r="V29" s="83"/>
      <c r="W29" s="83"/>
    </row>
    <row r="30" spans="2:23" x14ac:dyDescent="0.25">
      <c r="B30" s="83">
        <v>27</v>
      </c>
      <c r="C30" s="83">
        <v>303</v>
      </c>
      <c r="D30" s="83">
        <v>1</v>
      </c>
      <c r="E30" s="83"/>
      <c r="F30" s="83"/>
      <c r="G30" s="83"/>
      <c r="H30" s="83"/>
      <c r="I30" s="83"/>
      <c r="J30" s="83"/>
      <c r="K30" s="83"/>
      <c r="L30" s="83"/>
      <c r="M30" s="83"/>
      <c r="N30" s="83"/>
      <c r="O30" s="83"/>
      <c r="P30" s="83"/>
      <c r="Q30" s="83"/>
      <c r="R30" s="83"/>
      <c r="S30" s="83"/>
      <c r="T30" s="83"/>
      <c r="U30" s="83"/>
      <c r="V30" s="83"/>
      <c r="W30" s="83"/>
    </row>
    <row r="31" spans="2:23" x14ac:dyDescent="0.25">
      <c r="B31" s="83">
        <v>28</v>
      </c>
      <c r="C31" s="83">
        <v>304</v>
      </c>
      <c r="D31" s="83">
        <v>1</v>
      </c>
      <c r="E31" s="83"/>
      <c r="F31" s="83"/>
      <c r="G31" s="83"/>
      <c r="H31" s="83"/>
      <c r="I31" s="83"/>
      <c r="J31" s="83"/>
      <c r="K31" s="83"/>
      <c r="L31" s="83"/>
      <c r="M31" s="83"/>
      <c r="N31" s="83"/>
      <c r="O31" s="83"/>
      <c r="P31" s="83"/>
      <c r="Q31" s="83"/>
      <c r="R31" s="83"/>
      <c r="S31" s="83"/>
      <c r="T31" s="83"/>
      <c r="U31" s="83"/>
      <c r="V31" s="83"/>
      <c r="W31" s="83"/>
    </row>
    <row r="32" spans="2:23" x14ac:dyDescent="0.25">
      <c r="B32" s="83">
        <v>29</v>
      </c>
      <c r="C32" s="83">
        <v>305</v>
      </c>
      <c r="D32" s="83">
        <v>1</v>
      </c>
      <c r="E32" s="83"/>
      <c r="F32" s="83"/>
      <c r="G32" s="83"/>
      <c r="H32" s="83"/>
      <c r="I32" s="83"/>
      <c r="J32" s="83"/>
      <c r="K32" s="83"/>
      <c r="L32" s="83"/>
      <c r="M32" s="83"/>
      <c r="N32" s="83"/>
      <c r="O32" s="83"/>
      <c r="P32" s="83"/>
      <c r="Q32" s="83"/>
      <c r="R32" s="83"/>
      <c r="S32" s="83"/>
      <c r="T32" s="83"/>
      <c r="U32" s="83"/>
      <c r="V32" s="83"/>
      <c r="W32" s="83"/>
    </row>
    <row r="33" spans="1:23" x14ac:dyDescent="0.25">
      <c r="A33" s="65" t="s">
        <v>45</v>
      </c>
      <c r="B33" s="83">
        <v>30</v>
      </c>
      <c r="C33" s="83">
        <v>306</v>
      </c>
      <c r="D33" s="83">
        <v>1</v>
      </c>
      <c r="E33" s="83"/>
      <c r="F33" s="83"/>
      <c r="G33" s="83"/>
      <c r="H33" s="84"/>
      <c r="I33" s="84"/>
      <c r="J33" s="84"/>
      <c r="K33" s="84"/>
      <c r="L33" s="83"/>
      <c r="M33" s="83"/>
      <c r="N33" s="83"/>
      <c r="O33" s="83"/>
      <c r="P33" s="84"/>
      <c r="Q33" s="84"/>
      <c r="R33" s="84"/>
      <c r="S33" s="84"/>
      <c r="T33" s="83"/>
      <c r="U33" s="83"/>
      <c r="V33" s="83"/>
      <c r="W33" s="83"/>
    </row>
    <row r="34" spans="1:23" x14ac:dyDescent="0.25">
      <c r="B34" s="83">
        <v>31</v>
      </c>
      <c r="C34" s="83">
        <v>307</v>
      </c>
      <c r="D34" s="83">
        <v>1</v>
      </c>
      <c r="E34" s="83"/>
      <c r="F34" s="83"/>
      <c r="G34" s="83"/>
      <c r="H34" s="84"/>
      <c r="I34" s="84"/>
      <c r="J34" s="84"/>
      <c r="K34" s="84"/>
      <c r="L34" s="83"/>
      <c r="M34" s="83"/>
      <c r="N34" s="83"/>
      <c r="O34" s="83"/>
      <c r="P34" s="84"/>
      <c r="Q34" s="84"/>
      <c r="R34" s="84"/>
      <c r="S34" s="84"/>
      <c r="T34" s="83"/>
      <c r="U34" s="83"/>
      <c r="V34" s="83"/>
      <c r="W34" s="83"/>
    </row>
    <row r="35" spans="1:23" x14ac:dyDescent="0.25">
      <c r="B35" s="83">
        <v>32</v>
      </c>
      <c r="C35" s="83">
        <v>308</v>
      </c>
      <c r="D35" s="83">
        <v>1</v>
      </c>
      <c r="E35" s="83"/>
      <c r="F35" s="83"/>
      <c r="G35" s="83"/>
      <c r="H35" s="83"/>
      <c r="I35" s="83"/>
      <c r="J35" s="83"/>
      <c r="K35" s="83"/>
      <c r="L35" s="83"/>
      <c r="M35" s="83"/>
      <c r="N35" s="83"/>
      <c r="O35" s="83"/>
      <c r="P35" s="83"/>
      <c r="Q35" s="83"/>
      <c r="R35" s="83"/>
      <c r="S35" s="83"/>
      <c r="T35" s="83"/>
      <c r="U35" s="83"/>
      <c r="V35" s="83"/>
      <c r="W35" s="83"/>
    </row>
    <row r="36" spans="1:23" x14ac:dyDescent="0.25">
      <c r="B36" s="83">
        <v>33</v>
      </c>
      <c r="C36" s="83">
        <v>309</v>
      </c>
      <c r="D36" s="83">
        <v>1</v>
      </c>
      <c r="E36" s="83"/>
      <c r="F36" s="83"/>
      <c r="G36" s="83"/>
      <c r="H36" s="83"/>
      <c r="I36" s="83"/>
      <c r="J36" s="83"/>
      <c r="K36" s="83"/>
      <c r="L36" s="83"/>
      <c r="M36" s="83"/>
      <c r="N36" s="83"/>
      <c r="O36" s="83"/>
      <c r="P36" s="83"/>
      <c r="Q36" s="83"/>
      <c r="R36" s="83"/>
      <c r="S36" s="83"/>
      <c r="T36" s="83"/>
      <c r="U36" s="83"/>
      <c r="V36" s="83"/>
      <c r="W36" s="83"/>
    </row>
    <row r="37" spans="1:23" x14ac:dyDescent="0.25">
      <c r="B37" s="83">
        <v>34</v>
      </c>
      <c r="C37" s="83">
        <v>310</v>
      </c>
      <c r="D37" s="83">
        <v>1</v>
      </c>
      <c r="E37" s="83"/>
      <c r="F37" s="83"/>
      <c r="G37" s="83"/>
      <c r="H37" s="83"/>
      <c r="I37" s="83"/>
      <c r="J37" s="83"/>
      <c r="K37" s="83"/>
      <c r="L37" s="83"/>
      <c r="M37" s="83"/>
      <c r="N37" s="83"/>
      <c r="O37" s="83"/>
      <c r="P37" s="83"/>
      <c r="Q37" s="83"/>
      <c r="R37" s="83"/>
      <c r="S37" s="83"/>
      <c r="T37" s="83"/>
      <c r="U37" s="83"/>
      <c r="V37" s="83"/>
      <c r="W37" s="83"/>
    </row>
    <row r="38" spans="1:23" x14ac:dyDescent="0.25">
      <c r="B38" s="83">
        <v>35</v>
      </c>
      <c r="C38" s="83">
        <v>311</v>
      </c>
      <c r="D38" s="83">
        <v>1</v>
      </c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4"/>
      <c r="Q38" s="84"/>
      <c r="R38" s="84"/>
      <c r="S38" s="84"/>
      <c r="T38" s="83"/>
      <c r="U38" s="83"/>
      <c r="V38" s="83"/>
      <c r="W38" s="83"/>
    </row>
    <row r="39" spans="1:23" x14ac:dyDescent="0.25">
      <c r="B39" s="83">
        <v>36</v>
      </c>
      <c r="C39" s="83">
        <v>312</v>
      </c>
      <c r="D39" s="83">
        <v>1</v>
      </c>
      <c r="E39" s="83"/>
      <c r="F39" s="83"/>
      <c r="G39" s="83"/>
      <c r="H39" s="83"/>
      <c r="I39" s="83"/>
      <c r="J39" s="83"/>
      <c r="K39" s="83"/>
      <c r="L39" s="83"/>
      <c r="M39" s="83"/>
      <c r="N39" s="83"/>
      <c r="O39" s="83"/>
      <c r="P39" s="83"/>
      <c r="Q39" s="83"/>
      <c r="R39" s="83"/>
      <c r="S39" s="83"/>
      <c r="T39" s="83"/>
      <c r="U39" s="83"/>
      <c r="V39" s="83"/>
      <c r="W39" s="83"/>
    </row>
    <row r="40" spans="1:23" x14ac:dyDescent="0.25">
      <c r="B40" s="83">
        <v>37</v>
      </c>
      <c r="C40" s="83">
        <v>401</v>
      </c>
      <c r="D40" s="83">
        <v>1</v>
      </c>
      <c r="E40" s="83"/>
      <c r="F40" s="83"/>
      <c r="G40" s="83"/>
      <c r="H40" s="83"/>
      <c r="I40" s="83"/>
      <c r="J40" s="83"/>
      <c r="K40" s="83"/>
      <c r="L40" s="83"/>
      <c r="M40" s="83"/>
      <c r="N40" s="83"/>
      <c r="O40" s="83"/>
      <c r="P40" s="83"/>
      <c r="Q40" s="83"/>
      <c r="R40" s="83"/>
      <c r="S40" s="83"/>
      <c r="T40" s="83"/>
      <c r="U40" s="83"/>
      <c r="V40" s="83"/>
      <c r="W40" s="83"/>
    </row>
    <row r="41" spans="1:23" x14ac:dyDescent="0.25">
      <c r="B41" s="83">
        <v>38</v>
      </c>
      <c r="C41" s="83">
        <v>402</v>
      </c>
      <c r="D41" s="83">
        <v>1</v>
      </c>
      <c r="E41" s="83"/>
      <c r="F41" s="83"/>
      <c r="G41" s="83"/>
      <c r="H41" s="83"/>
      <c r="I41" s="83"/>
      <c r="J41" s="83"/>
      <c r="K41" s="83"/>
      <c r="L41" s="83"/>
      <c r="M41" s="83"/>
      <c r="N41" s="83"/>
      <c r="O41" s="83"/>
      <c r="P41" s="83"/>
      <c r="Q41" s="83"/>
      <c r="R41" s="83"/>
      <c r="S41" s="83"/>
      <c r="T41" s="83"/>
      <c r="U41" s="83"/>
      <c r="V41" s="83"/>
      <c r="W41" s="83"/>
    </row>
    <row r="42" spans="1:23" x14ac:dyDescent="0.25">
      <c r="B42" s="83">
        <v>39</v>
      </c>
      <c r="C42" s="83">
        <v>403</v>
      </c>
      <c r="D42" s="83">
        <v>1</v>
      </c>
      <c r="E42" s="83"/>
      <c r="F42" s="83"/>
      <c r="G42" s="83"/>
      <c r="H42" s="83"/>
      <c r="I42" s="83"/>
      <c r="J42" s="83"/>
      <c r="K42" s="83"/>
      <c r="L42" s="83"/>
      <c r="M42" s="83"/>
      <c r="N42" s="83"/>
      <c r="O42" s="83"/>
      <c r="P42" s="83"/>
      <c r="Q42" s="83"/>
      <c r="R42" s="83"/>
      <c r="S42" s="83"/>
      <c r="T42" s="83"/>
      <c r="U42" s="83"/>
      <c r="V42" s="83"/>
      <c r="W42" s="83"/>
    </row>
    <row r="43" spans="1:23" x14ac:dyDescent="0.25">
      <c r="B43" s="83">
        <v>40</v>
      </c>
      <c r="C43" s="83">
        <v>404</v>
      </c>
      <c r="D43" s="83">
        <v>1</v>
      </c>
      <c r="E43" s="83"/>
      <c r="F43" s="83"/>
      <c r="G43" s="83"/>
      <c r="H43" s="83"/>
      <c r="I43" s="83"/>
      <c r="J43" s="83"/>
      <c r="K43" s="83"/>
      <c r="L43" s="83"/>
      <c r="M43" s="83"/>
      <c r="N43" s="83"/>
      <c r="O43" s="83"/>
      <c r="P43" s="83"/>
      <c r="Q43" s="83"/>
      <c r="R43" s="83"/>
      <c r="S43" s="83"/>
      <c r="T43" s="83"/>
      <c r="U43" s="83"/>
      <c r="V43" s="83"/>
      <c r="W43" s="83"/>
    </row>
    <row r="44" spans="1:23" x14ac:dyDescent="0.25">
      <c r="B44" s="83">
        <v>41</v>
      </c>
      <c r="C44" s="83">
        <v>405</v>
      </c>
      <c r="D44" s="83">
        <v>1</v>
      </c>
      <c r="E44" s="83"/>
      <c r="F44" s="83"/>
      <c r="G44" s="83"/>
      <c r="H44" s="83"/>
      <c r="I44" s="83"/>
      <c r="J44" s="83"/>
      <c r="K44" s="83"/>
      <c r="L44" s="83"/>
      <c r="M44" s="83"/>
      <c r="N44" s="83"/>
      <c r="O44" s="83"/>
      <c r="P44" s="83"/>
      <c r="Q44" s="83"/>
      <c r="R44" s="83"/>
      <c r="S44" s="83"/>
      <c r="T44" s="83"/>
      <c r="U44" s="83"/>
      <c r="V44" s="83"/>
      <c r="W44" s="83"/>
    </row>
    <row r="45" spans="1:23" x14ac:dyDescent="0.25">
      <c r="B45" s="83">
        <v>42</v>
      </c>
      <c r="C45" s="83">
        <v>406</v>
      </c>
      <c r="D45" s="83">
        <v>1</v>
      </c>
      <c r="E45" s="83"/>
      <c r="F45" s="83"/>
      <c r="G45" s="83"/>
      <c r="H45" s="83"/>
      <c r="I45" s="83"/>
      <c r="J45" s="83"/>
      <c r="K45" s="83"/>
      <c r="L45" s="83"/>
      <c r="M45" s="83"/>
      <c r="N45" s="83"/>
      <c r="O45" s="83"/>
      <c r="P45" s="83"/>
      <c r="Q45" s="83"/>
      <c r="R45" s="83"/>
      <c r="S45" s="83"/>
      <c r="T45" s="83"/>
      <c r="U45" s="83"/>
      <c r="V45" s="83"/>
      <c r="W45" s="83"/>
    </row>
    <row r="46" spans="1:23" x14ac:dyDescent="0.25">
      <c r="B46" s="83">
        <v>43</v>
      </c>
      <c r="C46" s="83">
        <v>407</v>
      </c>
      <c r="D46" s="83">
        <v>1</v>
      </c>
      <c r="E46" s="83"/>
      <c r="F46" s="83"/>
      <c r="G46" s="83"/>
      <c r="H46" s="83"/>
      <c r="I46" s="83"/>
      <c r="J46" s="83"/>
      <c r="K46" s="83"/>
      <c r="L46" s="83"/>
      <c r="M46" s="83"/>
      <c r="N46" s="83"/>
      <c r="O46" s="83"/>
      <c r="P46" s="83"/>
      <c r="Q46" s="83"/>
      <c r="R46" s="83"/>
      <c r="S46" s="83"/>
      <c r="T46" s="83"/>
      <c r="U46" s="83"/>
      <c r="V46" s="83"/>
      <c r="W46" s="83"/>
    </row>
    <row r="47" spans="1:23" x14ac:dyDescent="0.25">
      <c r="B47" s="83">
        <v>44</v>
      </c>
      <c r="C47" s="83">
        <v>408</v>
      </c>
      <c r="D47" s="83">
        <v>1</v>
      </c>
      <c r="E47" s="83"/>
      <c r="F47" s="83"/>
      <c r="G47" s="83"/>
      <c r="H47" s="83"/>
      <c r="I47" s="83"/>
      <c r="J47" s="83"/>
      <c r="K47" s="83"/>
      <c r="L47" s="83"/>
      <c r="M47" s="83"/>
      <c r="N47" s="83"/>
      <c r="O47" s="83"/>
      <c r="P47" s="83"/>
      <c r="Q47" s="83"/>
      <c r="R47" s="83"/>
      <c r="S47" s="83"/>
      <c r="T47" s="83"/>
      <c r="U47" s="83"/>
      <c r="V47" s="83"/>
      <c r="W47" s="83"/>
    </row>
    <row r="48" spans="1:23" x14ac:dyDescent="0.25">
      <c r="B48" s="83">
        <v>45</v>
      </c>
      <c r="C48" s="83">
        <v>409</v>
      </c>
      <c r="D48" s="83">
        <v>1</v>
      </c>
      <c r="E48" s="83"/>
      <c r="F48" s="83"/>
      <c r="G48" s="83"/>
      <c r="H48" s="83"/>
      <c r="I48" s="83"/>
      <c r="J48" s="83"/>
      <c r="K48" s="83"/>
      <c r="L48" s="83"/>
      <c r="M48" s="83"/>
      <c r="N48" s="83"/>
      <c r="O48" s="83"/>
      <c r="P48" s="83"/>
      <c r="Q48" s="83"/>
      <c r="R48" s="83"/>
      <c r="S48" s="83"/>
      <c r="T48" s="83"/>
      <c r="U48" s="83"/>
      <c r="V48" s="83"/>
      <c r="W48" s="83"/>
    </row>
    <row r="49" spans="2:23" x14ac:dyDescent="0.25">
      <c r="B49" s="83">
        <v>46</v>
      </c>
      <c r="C49" s="83">
        <v>410</v>
      </c>
      <c r="D49" s="83">
        <v>1</v>
      </c>
      <c r="E49" s="83"/>
      <c r="F49" s="83"/>
      <c r="G49" s="83"/>
      <c r="H49" s="83"/>
      <c r="I49" s="83"/>
      <c r="J49" s="83"/>
      <c r="K49" s="83"/>
      <c r="L49" s="83"/>
      <c r="M49" s="83"/>
      <c r="N49" s="83"/>
      <c r="O49" s="83"/>
      <c r="P49" s="83"/>
      <c r="Q49" s="83"/>
      <c r="R49" s="83"/>
      <c r="S49" s="83"/>
      <c r="T49" s="83"/>
      <c r="U49" s="83"/>
      <c r="V49" s="83"/>
      <c r="W49" s="83"/>
    </row>
    <row r="50" spans="2:23" x14ac:dyDescent="0.25">
      <c r="B50" s="83">
        <v>47</v>
      </c>
      <c r="C50" s="83">
        <v>411</v>
      </c>
      <c r="D50" s="83">
        <v>1</v>
      </c>
      <c r="E50" s="83"/>
      <c r="F50" s="83"/>
      <c r="G50" s="83"/>
      <c r="H50" s="83"/>
      <c r="I50" s="83"/>
      <c r="J50" s="83"/>
      <c r="K50" s="83"/>
      <c r="L50" s="83"/>
      <c r="M50" s="83"/>
      <c r="N50" s="83"/>
      <c r="O50" s="83"/>
      <c r="P50" s="83"/>
      <c r="Q50" s="83"/>
      <c r="R50" s="83"/>
      <c r="S50" s="83"/>
      <c r="T50" s="83"/>
      <c r="U50" s="83"/>
      <c r="V50" s="83"/>
      <c r="W50" s="83"/>
    </row>
    <row r="51" spans="2:23" x14ac:dyDescent="0.25">
      <c r="B51" s="83">
        <v>48</v>
      </c>
      <c r="C51" s="83">
        <v>412</v>
      </c>
      <c r="D51" s="83">
        <v>1</v>
      </c>
      <c r="E51" s="83"/>
      <c r="F51" s="83"/>
      <c r="G51" s="83"/>
      <c r="H51" s="83"/>
      <c r="I51" s="83"/>
      <c r="J51" s="83"/>
      <c r="K51" s="83"/>
      <c r="L51" s="83"/>
      <c r="M51" s="83"/>
      <c r="N51" s="83"/>
      <c r="O51" s="83"/>
      <c r="P51" s="83"/>
      <c r="Q51" s="83"/>
      <c r="R51" s="83"/>
      <c r="S51" s="83"/>
      <c r="T51" s="83"/>
      <c r="U51" s="83"/>
      <c r="V51" s="83"/>
      <c r="W51" s="83"/>
    </row>
    <row r="52" spans="2:23" x14ac:dyDescent="0.25">
      <c r="B52" s="83">
        <v>49</v>
      </c>
      <c r="C52" s="83">
        <v>501</v>
      </c>
      <c r="D52" s="83">
        <v>1</v>
      </c>
      <c r="E52" s="83"/>
      <c r="F52" s="83"/>
      <c r="G52" s="83"/>
      <c r="H52" s="83"/>
      <c r="I52" s="83"/>
      <c r="J52" s="83"/>
      <c r="K52" s="83"/>
      <c r="L52" s="83"/>
      <c r="M52" s="83"/>
      <c r="N52" s="83"/>
      <c r="O52" s="83"/>
      <c r="P52" s="83"/>
      <c r="Q52" s="83"/>
      <c r="R52" s="83"/>
      <c r="S52" s="83"/>
      <c r="T52" s="83"/>
      <c r="U52" s="83"/>
      <c r="V52" s="83"/>
      <c r="W52" s="83"/>
    </row>
    <row r="53" spans="2:23" x14ac:dyDescent="0.25">
      <c r="B53" s="83">
        <v>50</v>
      </c>
      <c r="C53" s="83">
        <v>502</v>
      </c>
      <c r="D53" s="83">
        <v>1</v>
      </c>
      <c r="E53" s="83"/>
      <c r="F53" s="83"/>
      <c r="G53" s="83"/>
      <c r="H53" s="83"/>
      <c r="I53" s="83"/>
      <c r="J53" s="83"/>
      <c r="K53" s="83"/>
      <c r="L53" s="83"/>
      <c r="M53" s="83"/>
      <c r="N53" s="83"/>
      <c r="O53" s="83"/>
      <c r="P53" s="83"/>
      <c r="Q53" s="83"/>
      <c r="R53" s="83"/>
      <c r="S53" s="83"/>
      <c r="T53" s="83"/>
      <c r="U53" s="83"/>
      <c r="V53" s="83"/>
      <c r="W53" s="83"/>
    </row>
    <row r="54" spans="2:23" x14ac:dyDescent="0.25">
      <c r="B54" s="83">
        <v>51</v>
      </c>
      <c r="C54" s="83">
        <v>503</v>
      </c>
      <c r="D54" s="85"/>
      <c r="E54" s="85"/>
      <c r="F54" s="85"/>
      <c r="G54" s="85"/>
      <c r="H54" s="83"/>
      <c r="I54" s="83"/>
      <c r="J54" s="83"/>
      <c r="K54" s="83"/>
      <c r="L54" s="83"/>
      <c r="M54" s="83"/>
      <c r="N54" s="83"/>
      <c r="O54" s="83"/>
      <c r="P54" s="83"/>
      <c r="Q54" s="83"/>
      <c r="R54" s="83"/>
      <c r="S54" s="83"/>
      <c r="T54" s="83"/>
      <c r="U54" s="83"/>
      <c r="V54" s="83"/>
      <c r="W54" s="83"/>
    </row>
    <row r="55" spans="2:23" x14ac:dyDescent="0.25">
      <c r="B55" s="83">
        <v>52</v>
      </c>
      <c r="C55" s="83">
        <v>504</v>
      </c>
      <c r="D55" s="83"/>
      <c r="E55" s="83"/>
      <c r="F55" s="83"/>
      <c r="G55" s="83"/>
      <c r="H55" s="83"/>
      <c r="I55" s="83"/>
      <c r="J55" s="83"/>
      <c r="K55" s="83"/>
      <c r="L55" s="83"/>
      <c r="M55" s="83"/>
      <c r="N55" s="83"/>
      <c r="O55" s="83"/>
      <c r="P55" s="83"/>
      <c r="Q55" s="83"/>
      <c r="R55" s="83"/>
      <c r="S55" s="83"/>
      <c r="T55" s="83"/>
      <c r="U55" s="83"/>
      <c r="V55" s="83"/>
      <c r="W55" s="83"/>
    </row>
    <row r="56" spans="2:23" x14ac:dyDescent="0.25">
      <c r="B56" s="83">
        <v>53</v>
      </c>
      <c r="C56" s="83">
        <v>505</v>
      </c>
      <c r="D56" s="85"/>
      <c r="E56" s="85"/>
      <c r="F56" s="85"/>
      <c r="G56" s="85"/>
      <c r="H56" s="83"/>
      <c r="I56" s="83"/>
      <c r="J56" s="83"/>
      <c r="K56" s="83"/>
      <c r="L56" s="83"/>
      <c r="M56" s="83"/>
      <c r="N56" s="83"/>
      <c r="O56" s="83"/>
      <c r="P56" s="83"/>
      <c r="Q56" s="83"/>
      <c r="R56" s="83"/>
      <c r="S56" s="83"/>
      <c r="T56" s="83"/>
      <c r="U56" s="83"/>
      <c r="V56" s="83"/>
      <c r="W56" s="83"/>
    </row>
    <row r="57" spans="2:23" x14ac:dyDescent="0.25">
      <c r="B57" s="83">
        <v>54</v>
      </c>
      <c r="C57" s="83">
        <v>506</v>
      </c>
      <c r="D57" s="85"/>
      <c r="E57" s="85"/>
      <c r="F57" s="85"/>
      <c r="G57" s="85"/>
      <c r="H57" s="83"/>
      <c r="I57" s="83"/>
      <c r="J57" s="83"/>
      <c r="K57" s="83"/>
      <c r="L57" s="83"/>
      <c r="M57" s="83"/>
      <c r="N57" s="83"/>
      <c r="O57" s="83"/>
      <c r="P57" s="83"/>
      <c r="Q57" s="83"/>
      <c r="R57" s="83"/>
      <c r="S57" s="83"/>
      <c r="T57" s="83"/>
      <c r="U57" s="83"/>
      <c r="V57" s="83"/>
      <c r="W57" s="83"/>
    </row>
    <row r="58" spans="2:23" x14ac:dyDescent="0.25">
      <c r="B58" s="83">
        <v>55</v>
      </c>
      <c r="C58" s="83">
        <v>507</v>
      </c>
      <c r="D58" s="83"/>
      <c r="E58" s="83"/>
      <c r="F58" s="83"/>
      <c r="G58" s="83"/>
      <c r="H58" s="83"/>
      <c r="I58" s="83"/>
      <c r="J58" s="83"/>
      <c r="K58" s="83"/>
      <c r="L58" s="83"/>
      <c r="M58" s="83"/>
      <c r="N58" s="83"/>
      <c r="O58" s="83"/>
      <c r="P58" s="83"/>
      <c r="Q58" s="83"/>
      <c r="R58" s="83"/>
      <c r="S58" s="83"/>
      <c r="T58" s="83"/>
      <c r="U58" s="83"/>
      <c r="V58" s="83"/>
      <c r="W58" s="83"/>
    </row>
    <row r="59" spans="2:23" x14ac:dyDescent="0.25">
      <c r="B59" s="83">
        <v>56</v>
      </c>
      <c r="C59" s="83">
        <v>508</v>
      </c>
      <c r="D59" s="85"/>
      <c r="E59" s="85"/>
      <c r="F59" s="85"/>
      <c r="G59" s="85"/>
      <c r="H59" s="83"/>
      <c r="I59" s="83"/>
      <c r="J59" s="83"/>
      <c r="K59" s="83"/>
      <c r="L59" s="83"/>
      <c r="M59" s="83"/>
      <c r="N59" s="83"/>
      <c r="O59" s="83"/>
      <c r="P59" s="83"/>
      <c r="Q59" s="83"/>
      <c r="R59" s="83"/>
      <c r="S59" s="83"/>
      <c r="T59" s="83"/>
      <c r="U59" s="83"/>
      <c r="V59" s="83"/>
      <c r="W59" s="83"/>
    </row>
    <row r="60" spans="2:23" x14ac:dyDescent="0.25">
      <c r="B60" s="83">
        <v>57</v>
      </c>
      <c r="C60" s="83">
        <v>509</v>
      </c>
      <c r="D60" s="85"/>
      <c r="E60" s="85"/>
      <c r="F60" s="85"/>
      <c r="G60" s="85"/>
      <c r="H60" s="83"/>
      <c r="I60" s="83"/>
      <c r="J60" s="83"/>
      <c r="K60" s="83"/>
      <c r="L60" s="83"/>
      <c r="M60" s="83"/>
      <c r="N60" s="83"/>
      <c r="O60" s="83"/>
      <c r="P60" s="83"/>
      <c r="Q60" s="83"/>
      <c r="R60" s="83"/>
      <c r="S60" s="83"/>
      <c r="T60" s="83"/>
      <c r="U60" s="83"/>
      <c r="V60" s="83"/>
      <c r="W60" s="83"/>
    </row>
    <row r="61" spans="2:23" x14ac:dyDescent="0.25">
      <c r="B61" s="83">
        <v>58</v>
      </c>
      <c r="C61" s="83">
        <v>510</v>
      </c>
      <c r="D61" s="85"/>
      <c r="E61" s="85"/>
      <c r="F61" s="85"/>
      <c r="G61" s="85"/>
      <c r="H61" s="83"/>
      <c r="I61" s="83"/>
      <c r="J61" s="83"/>
      <c r="K61" s="83"/>
      <c r="L61" s="83"/>
      <c r="M61" s="83"/>
      <c r="N61" s="83"/>
      <c r="O61" s="83"/>
      <c r="P61" s="83"/>
      <c r="Q61" s="83"/>
      <c r="R61" s="83"/>
      <c r="S61" s="83"/>
      <c r="T61" s="83"/>
      <c r="U61" s="83"/>
      <c r="V61" s="83"/>
      <c r="W61" s="83"/>
    </row>
    <row r="62" spans="2:23" x14ac:dyDescent="0.25">
      <c r="B62" s="83">
        <v>59</v>
      </c>
      <c r="C62" s="83">
        <v>511</v>
      </c>
      <c r="D62" s="83"/>
      <c r="E62" s="83"/>
      <c r="F62" s="83"/>
      <c r="G62" s="83"/>
      <c r="H62" s="83"/>
      <c r="I62" s="83"/>
      <c r="J62" s="83"/>
      <c r="K62" s="83"/>
      <c r="L62" s="83"/>
      <c r="M62" s="83"/>
      <c r="N62" s="83"/>
      <c r="O62" s="83"/>
      <c r="P62" s="83"/>
      <c r="Q62" s="83"/>
      <c r="R62" s="83"/>
      <c r="S62" s="83"/>
      <c r="T62" s="83"/>
      <c r="U62" s="83"/>
      <c r="V62" s="83"/>
      <c r="W62" s="83"/>
    </row>
    <row r="63" spans="2:23" x14ac:dyDescent="0.25">
      <c r="B63" s="83">
        <v>60</v>
      </c>
      <c r="C63" s="83">
        <v>512</v>
      </c>
      <c r="D63" s="83"/>
      <c r="E63" s="83"/>
      <c r="F63" s="83"/>
      <c r="G63" s="83"/>
      <c r="H63" s="83"/>
      <c r="I63" s="83"/>
      <c r="J63" s="83"/>
      <c r="K63" s="83"/>
      <c r="L63" s="83"/>
      <c r="M63" s="83"/>
      <c r="N63" s="83"/>
      <c r="O63" s="83"/>
      <c r="P63" s="83"/>
      <c r="Q63" s="83"/>
      <c r="R63" s="83"/>
      <c r="S63" s="83"/>
      <c r="T63" s="83"/>
      <c r="U63" s="83"/>
      <c r="V63" s="83"/>
      <c r="W63" s="83"/>
    </row>
    <row r="64" spans="2:23" x14ac:dyDescent="0.25">
      <c r="B64" s="83">
        <v>61</v>
      </c>
      <c r="C64" s="83">
        <v>601</v>
      </c>
      <c r="D64" s="83"/>
      <c r="E64" s="83"/>
      <c r="F64" s="83"/>
      <c r="G64" s="83"/>
      <c r="H64" s="83"/>
      <c r="I64" s="83"/>
      <c r="J64" s="83"/>
      <c r="K64" s="83"/>
      <c r="L64" s="83"/>
      <c r="M64" s="83"/>
      <c r="N64" s="83"/>
      <c r="O64" s="83"/>
      <c r="P64" s="83"/>
      <c r="Q64" s="83"/>
      <c r="R64" s="83"/>
      <c r="S64" s="83"/>
      <c r="T64" s="83"/>
      <c r="U64" s="83"/>
      <c r="V64" s="83"/>
      <c r="W64" s="83"/>
    </row>
    <row r="65" spans="2:23" x14ac:dyDescent="0.25">
      <c r="B65" s="83">
        <v>62</v>
      </c>
      <c r="C65" s="83">
        <v>602</v>
      </c>
      <c r="D65" s="83"/>
      <c r="E65" s="83"/>
      <c r="F65" s="83"/>
      <c r="G65" s="83"/>
      <c r="H65" s="83"/>
      <c r="I65" s="83"/>
      <c r="J65" s="83"/>
      <c r="K65" s="83"/>
      <c r="L65" s="83"/>
      <c r="M65" s="83"/>
      <c r="N65" s="83"/>
      <c r="O65" s="83"/>
      <c r="P65" s="83"/>
      <c r="Q65" s="83"/>
      <c r="R65" s="83"/>
      <c r="S65" s="83"/>
      <c r="T65" s="83"/>
      <c r="U65" s="83"/>
      <c r="V65" s="83"/>
      <c r="W65" s="83"/>
    </row>
    <row r="66" spans="2:23" x14ac:dyDescent="0.25">
      <c r="B66" s="83">
        <v>63</v>
      </c>
      <c r="C66" s="83">
        <v>603</v>
      </c>
      <c r="D66" s="85"/>
      <c r="E66" s="85"/>
      <c r="F66" s="85"/>
      <c r="G66" s="85"/>
      <c r="H66" s="83"/>
      <c r="I66" s="83"/>
      <c r="J66" s="83"/>
      <c r="K66" s="83"/>
      <c r="L66" s="83"/>
      <c r="M66" s="83"/>
      <c r="N66" s="83"/>
      <c r="O66" s="83"/>
      <c r="P66" s="83"/>
      <c r="Q66" s="83"/>
      <c r="R66" s="83"/>
      <c r="S66" s="83"/>
      <c r="T66" s="83"/>
      <c r="U66" s="83"/>
      <c r="V66" s="83"/>
      <c r="W66" s="83"/>
    </row>
    <row r="67" spans="2:23" x14ac:dyDescent="0.25">
      <c r="B67" s="83">
        <v>64</v>
      </c>
      <c r="C67" s="83">
        <v>604</v>
      </c>
      <c r="D67" s="85"/>
      <c r="E67" s="85"/>
      <c r="F67" s="85"/>
      <c r="G67" s="85"/>
      <c r="H67" s="83"/>
      <c r="I67" s="83"/>
      <c r="J67" s="83"/>
      <c r="K67" s="83"/>
      <c r="L67" s="83"/>
      <c r="M67" s="83"/>
      <c r="N67" s="83"/>
      <c r="O67" s="83"/>
      <c r="P67" s="83"/>
      <c r="Q67" s="83"/>
      <c r="R67" s="83"/>
      <c r="S67" s="83"/>
      <c r="T67" s="83"/>
      <c r="U67" s="83"/>
      <c r="V67" s="83"/>
      <c r="W67" s="83"/>
    </row>
    <row r="68" spans="2:23" x14ac:dyDescent="0.25">
      <c r="B68" s="83">
        <v>65</v>
      </c>
      <c r="C68" s="83">
        <v>605</v>
      </c>
      <c r="D68" s="85"/>
      <c r="E68" s="85"/>
      <c r="F68" s="85"/>
      <c r="G68" s="85"/>
      <c r="H68" s="83"/>
      <c r="I68" s="83"/>
      <c r="J68" s="83"/>
      <c r="K68" s="83"/>
      <c r="L68" s="83"/>
      <c r="M68" s="83"/>
      <c r="N68" s="83"/>
      <c r="O68" s="83"/>
      <c r="P68" s="83"/>
      <c r="Q68" s="83"/>
      <c r="R68" s="83"/>
      <c r="S68" s="83"/>
      <c r="T68" s="83"/>
      <c r="U68" s="83"/>
      <c r="V68" s="83"/>
      <c r="W68" s="83"/>
    </row>
    <row r="69" spans="2:23" x14ac:dyDescent="0.25">
      <c r="B69" s="83">
        <v>66</v>
      </c>
      <c r="C69" s="83">
        <v>606</v>
      </c>
      <c r="D69" s="85"/>
      <c r="E69" s="85"/>
      <c r="F69" s="85"/>
      <c r="G69" s="85"/>
      <c r="H69" s="83"/>
      <c r="I69" s="83"/>
      <c r="J69" s="83"/>
      <c r="K69" s="83"/>
      <c r="L69" s="83"/>
      <c r="M69" s="83"/>
      <c r="N69" s="83"/>
      <c r="O69" s="83"/>
      <c r="P69" s="83"/>
      <c r="Q69" s="83"/>
      <c r="R69" s="83"/>
      <c r="S69" s="83"/>
      <c r="T69" s="83"/>
      <c r="U69" s="83"/>
      <c r="V69" s="83"/>
      <c r="W69" s="83"/>
    </row>
    <row r="70" spans="2:23" x14ac:dyDescent="0.25">
      <c r="B70" s="83">
        <v>67</v>
      </c>
      <c r="C70" s="83">
        <v>607</v>
      </c>
      <c r="D70" s="85"/>
      <c r="E70" s="85"/>
      <c r="F70" s="85"/>
      <c r="G70" s="85"/>
      <c r="H70" s="83"/>
      <c r="I70" s="83"/>
      <c r="J70" s="83"/>
      <c r="K70" s="83"/>
      <c r="L70" s="83"/>
      <c r="M70" s="83"/>
      <c r="N70" s="83"/>
      <c r="O70" s="83"/>
      <c r="P70" s="83"/>
      <c r="Q70" s="83"/>
      <c r="R70" s="83"/>
      <c r="S70" s="83"/>
      <c r="T70" s="83"/>
      <c r="U70" s="83"/>
      <c r="V70" s="83"/>
      <c r="W70" s="83"/>
    </row>
    <row r="71" spans="2:23" x14ac:dyDescent="0.25">
      <c r="B71" s="83">
        <v>68</v>
      </c>
      <c r="C71" s="83">
        <v>608</v>
      </c>
      <c r="D71" s="85"/>
      <c r="E71" s="85"/>
      <c r="F71" s="85"/>
      <c r="G71" s="85"/>
      <c r="H71" s="83"/>
      <c r="I71" s="83"/>
      <c r="J71" s="83"/>
      <c r="K71" s="83"/>
      <c r="L71" s="83"/>
      <c r="M71" s="83"/>
      <c r="N71" s="83"/>
      <c r="O71" s="83"/>
      <c r="P71" s="83"/>
      <c r="Q71" s="83"/>
      <c r="R71" s="83"/>
      <c r="S71" s="83"/>
      <c r="T71" s="83"/>
      <c r="U71" s="83"/>
      <c r="V71" s="83"/>
      <c r="W71" s="83"/>
    </row>
    <row r="72" spans="2:23" x14ac:dyDescent="0.25">
      <c r="B72" s="83">
        <v>69</v>
      </c>
      <c r="C72" s="83">
        <v>609</v>
      </c>
      <c r="D72" s="85"/>
      <c r="E72" s="85"/>
      <c r="F72" s="85"/>
      <c r="G72" s="85"/>
      <c r="H72" s="83"/>
      <c r="I72" s="83"/>
      <c r="J72" s="83"/>
      <c r="K72" s="83"/>
      <c r="L72" s="83"/>
      <c r="M72" s="83"/>
      <c r="N72" s="83"/>
      <c r="O72" s="83"/>
      <c r="P72" s="83"/>
      <c r="Q72" s="83"/>
      <c r="R72" s="83"/>
      <c r="S72" s="83"/>
      <c r="T72" s="83"/>
      <c r="U72" s="83"/>
      <c r="V72" s="83"/>
      <c r="W72" s="83"/>
    </row>
    <row r="73" spans="2:23" x14ac:dyDescent="0.25">
      <c r="B73" s="83">
        <v>70</v>
      </c>
      <c r="C73" s="83">
        <v>610</v>
      </c>
      <c r="D73" s="85"/>
      <c r="E73" s="85"/>
      <c r="F73" s="85"/>
      <c r="G73" s="85"/>
      <c r="H73" s="83"/>
      <c r="I73" s="83"/>
      <c r="J73" s="83"/>
      <c r="K73" s="83"/>
      <c r="L73" s="83"/>
      <c r="M73" s="83"/>
      <c r="N73" s="83"/>
      <c r="O73" s="83"/>
      <c r="P73" s="83"/>
      <c r="Q73" s="83"/>
      <c r="R73" s="83"/>
      <c r="S73" s="83"/>
      <c r="T73" s="83"/>
      <c r="U73" s="83"/>
      <c r="V73" s="83"/>
      <c r="W73" s="83"/>
    </row>
    <row r="74" spans="2:23" x14ac:dyDescent="0.25">
      <c r="B74" s="83">
        <v>71</v>
      </c>
      <c r="C74" s="83">
        <v>611</v>
      </c>
      <c r="D74" s="83"/>
      <c r="E74" s="83"/>
      <c r="F74" s="83"/>
      <c r="G74" s="83"/>
      <c r="H74" s="83"/>
      <c r="I74" s="83"/>
      <c r="J74" s="83"/>
      <c r="K74" s="83"/>
      <c r="L74" s="83"/>
      <c r="M74" s="83"/>
      <c r="N74" s="83"/>
      <c r="O74" s="83"/>
      <c r="P74" s="83"/>
      <c r="Q74" s="83"/>
      <c r="R74" s="83"/>
      <c r="S74" s="83"/>
      <c r="T74" s="83"/>
      <c r="U74" s="83"/>
      <c r="V74" s="83"/>
      <c r="W74" s="83"/>
    </row>
    <row r="75" spans="2:23" x14ac:dyDescent="0.25">
      <c r="B75" s="83">
        <v>72</v>
      </c>
      <c r="C75" s="83">
        <v>612</v>
      </c>
      <c r="D75" s="83"/>
      <c r="E75" s="83"/>
      <c r="F75" s="83"/>
      <c r="G75" s="83"/>
      <c r="H75" s="83"/>
      <c r="I75" s="83"/>
      <c r="J75" s="83"/>
      <c r="K75" s="83"/>
      <c r="L75" s="83"/>
      <c r="M75" s="83"/>
      <c r="N75" s="83"/>
      <c r="O75" s="83"/>
      <c r="P75" s="83"/>
      <c r="Q75" s="83"/>
      <c r="R75" s="83"/>
      <c r="S75" s="83"/>
      <c r="T75" s="83"/>
      <c r="U75" s="83"/>
      <c r="V75" s="83"/>
      <c r="W75" s="83"/>
    </row>
    <row r="76" spans="2:23" x14ac:dyDescent="0.25">
      <c r="B76" s="83">
        <v>73</v>
      </c>
      <c r="C76" s="83">
        <v>701</v>
      </c>
      <c r="D76" s="83"/>
      <c r="E76" s="83"/>
      <c r="F76" s="83"/>
      <c r="G76" s="83"/>
      <c r="H76" s="83"/>
      <c r="I76" s="83"/>
      <c r="J76" s="83"/>
      <c r="K76" s="83"/>
      <c r="L76" s="83"/>
      <c r="M76" s="83"/>
      <c r="N76" s="83"/>
      <c r="O76" s="83"/>
      <c r="P76" s="83"/>
      <c r="Q76" s="83"/>
      <c r="R76" s="83"/>
      <c r="S76" s="83"/>
      <c r="T76" s="83"/>
      <c r="U76" s="83"/>
      <c r="V76" s="83"/>
      <c r="W76" s="83"/>
    </row>
    <row r="77" spans="2:23" x14ac:dyDescent="0.25">
      <c r="B77" s="83">
        <v>74</v>
      </c>
      <c r="C77" s="83">
        <v>702</v>
      </c>
      <c r="D77" s="83"/>
      <c r="E77" s="83"/>
      <c r="F77" s="83"/>
      <c r="G77" s="83"/>
      <c r="H77" s="83"/>
      <c r="I77" s="83"/>
      <c r="J77" s="83"/>
      <c r="K77" s="83"/>
      <c r="L77" s="83"/>
      <c r="M77" s="83"/>
      <c r="N77" s="83"/>
      <c r="O77" s="83"/>
      <c r="P77" s="83"/>
      <c r="Q77" s="83"/>
      <c r="R77" s="83"/>
      <c r="S77" s="83"/>
      <c r="T77" s="83"/>
      <c r="U77" s="83"/>
      <c r="V77" s="83"/>
      <c r="W77" s="83"/>
    </row>
    <row r="78" spans="2:23" x14ac:dyDescent="0.25">
      <c r="B78" s="83">
        <v>75</v>
      </c>
      <c r="C78" s="83">
        <v>703</v>
      </c>
      <c r="D78" s="83"/>
      <c r="E78" s="83"/>
      <c r="F78" s="83"/>
      <c r="G78" s="83"/>
      <c r="H78" s="83"/>
      <c r="I78" s="83"/>
      <c r="J78" s="83"/>
      <c r="K78" s="83"/>
      <c r="L78" s="83"/>
      <c r="M78" s="83"/>
      <c r="N78" s="83"/>
      <c r="O78" s="83"/>
      <c r="P78" s="83"/>
      <c r="Q78" s="83"/>
      <c r="R78" s="83"/>
      <c r="S78" s="83"/>
      <c r="T78" s="83"/>
      <c r="U78" s="83"/>
      <c r="V78" s="83"/>
      <c r="W78" s="83"/>
    </row>
    <row r="79" spans="2:23" x14ac:dyDescent="0.25">
      <c r="B79" s="83">
        <v>76</v>
      </c>
      <c r="C79" s="83">
        <v>704</v>
      </c>
      <c r="D79" s="83"/>
      <c r="E79" s="83"/>
      <c r="F79" s="83"/>
      <c r="G79" s="83"/>
      <c r="H79" s="83"/>
      <c r="I79" s="83"/>
      <c r="J79" s="83"/>
      <c r="K79" s="83"/>
      <c r="L79" s="83"/>
      <c r="M79" s="83"/>
      <c r="N79" s="83"/>
      <c r="O79" s="83"/>
      <c r="P79" s="83"/>
      <c r="Q79" s="83"/>
      <c r="R79" s="83"/>
      <c r="S79" s="83"/>
      <c r="T79" s="83"/>
      <c r="U79" s="83"/>
      <c r="V79" s="83"/>
      <c r="W79" s="83"/>
    </row>
    <row r="80" spans="2:23" x14ac:dyDescent="0.25">
      <c r="B80" s="83">
        <v>77</v>
      </c>
      <c r="C80" s="83">
        <v>705</v>
      </c>
      <c r="D80" s="85"/>
      <c r="E80" s="85"/>
      <c r="F80" s="85"/>
      <c r="G80" s="85"/>
      <c r="H80" s="83"/>
      <c r="I80" s="83"/>
      <c r="J80" s="83"/>
      <c r="K80" s="83"/>
      <c r="L80" s="83"/>
      <c r="M80" s="83"/>
      <c r="N80" s="83"/>
      <c r="O80" s="83"/>
      <c r="P80" s="83"/>
      <c r="Q80" s="83"/>
      <c r="R80" s="83"/>
      <c r="S80" s="83"/>
      <c r="T80" s="83"/>
      <c r="U80" s="83"/>
      <c r="V80" s="83"/>
      <c r="W80" s="83"/>
    </row>
    <row r="81" spans="2:23" x14ac:dyDescent="0.25">
      <c r="B81" s="83">
        <v>78</v>
      </c>
      <c r="C81" s="83">
        <v>706</v>
      </c>
      <c r="D81" s="85"/>
      <c r="E81" s="85"/>
      <c r="F81" s="85"/>
      <c r="G81" s="85"/>
      <c r="H81" s="83"/>
      <c r="I81" s="83"/>
      <c r="J81" s="83"/>
      <c r="K81" s="83"/>
      <c r="L81" s="83"/>
      <c r="M81" s="83"/>
      <c r="N81" s="83"/>
      <c r="O81" s="83"/>
      <c r="P81" s="83"/>
      <c r="Q81" s="83"/>
      <c r="R81" s="83"/>
      <c r="S81" s="83"/>
      <c r="T81" s="83"/>
      <c r="U81" s="83"/>
      <c r="V81" s="83"/>
      <c r="W81" s="83"/>
    </row>
    <row r="82" spans="2:23" x14ac:dyDescent="0.25">
      <c r="B82" s="83">
        <v>79</v>
      </c>
      <c r="C82" s="83">
        <v>707</v>
      </c>
      <c r="D82" s="85"/>
      <c r="E82" s="85"/>
      <c r="F82" s="85"/>
      <c r="G82" s="85"/>
      <c r="H82" s="83"/>
      <c r="I82" s="83"/>
      <c r="J82" s="83"/>
      <c r="K82" s="83"/>
      <c r="L82" s="83"/>
      <c r="M82" s="83"/>
      <c r="N82" s="83"/>
      <c r="O82" s="83"/>
      <c r="P82" s="83"/>
      <c r="Q82" s="83"/>
      <c r="R82" s="83"/>
      <c r="S82" s="83"/>
      <c r="T82" s="83"/>
      <c r="U82" s="83"/>
      <c r="V82" s="83"/>
      <c r="W82" s="83"/>
    </row>
    <row r="83" spans="2:23" x14ac:dyDescent="0.25">
      <c r="B83" s="83">
        <v>80</v>
      </c>
      <c r="C83" s="83">
        <v>708</v>
      </c>
      <c r="D83" s="83"/>
      <c r="E83" s="83"/>
      <c r="F83" s="83"/>
      <c r="G83" s="83"/>
      <c r="H83" s="42"/>
      <c r="I83" s="42"/>
      <c r="J83" s="42"/>
      <c r="K83" s="42"/>
      <c r="L83" s="83"/>
      <c r="M83" s="83"/>
      <c r="N83" s="83"/>
      <c r="O83" s="83"/>
      <c r="P83" s="83"/>
      <c r="Q83" s="83"/>
      <c r="R83" s="83"/>
      <c r="S83" s="83"/>
      <c r="T83" s="83"/>
      <c r="U83" s="83"/>
      <c r="V83" s="83"/>
      <c r="W83" s="83"/>
    </row>
    <row r="84" spans="2:23" x14ac:dyDescent="0.25">
      <c r="B84" s="83">
        <v>81</v>
      </c>
      <c r="C84" s="83">
        <v>709</v>
      </c>
      <c r="D84" s="85"/>
      <c r="E84" s="85"/>
      <c r="F84" s="85"/>
      <c r="G84" s="85"/>
      <c r="H84" s="83"/>
      <c r="I84" s="83"/>
      <c r="J84" s="83"/>
      <c r="K84" s="83"/>
      <c r="L84" s="83"/>
      <c r="M84" s="83"/>
      <c r="N84" s="83"/>
      <c r="O84" s="83"/>
      <c r="P84" s="83"/>
      <c r="Q84" s="83"/>
      <c r="R84" s="83"/>
      <c r="S84" s="83"/>
      <c r="T84" s="83"/>
      <c r="U84" s="83"/>
      <c r="V84" s="83"/>
      <c r="W84" s="83"/>
    </row>
    <row r="85" spans="2:23" x14ac:dyDescent="0.25">
      <c r="B85" s="83">
        <v>82</v>
      </c>
      <c r="C85" s="83">
        <v>710</v>
      </c>
      <c r="D85" s="83"/>
      <c r="E85" s="83"/>
      <c r="F85" s="83"/>
      <c r="G85" s="83"/>
      <c r="H85" s="83"/>
      <c r="I85" s="83"/>
      <c r="J85" s="83"/>
      <c r="K85" s="83"/>
      <c r="L85" s="83"/>
      <c r="M85" s="83"/>
      <c r="N85" s="83"/>
      <c r="O85" s="83"/>
      <c r="P85" s="84"/>
      <c r="Q85" s="84"/>
      <c r="R85" s="84"/>
      <c r="S85" s="84"/>
      <c r="T85" s="83"/>
      <c r="U85" s="83"/>
      <c r="V85" s="83"/>
      <c r="W85" s="83"/>
    </row>
    <row r="86" spans="2:23" x14ac:dyDescent="0.25">
      <c r="B86" s="83">
        <v>83</v>
      </c>
      <c r="C86" s="83">
        <v>711</v>
      </c>
      <c r="D86" s="83"/>
      <c r="E86" s="83"/>
      <c r="F86" s="83"/>
      <c r="G86" s="83"/>
      <c r="H86" s="83"/>
      <c r="I86" s="83"/>
      <c r="J86" s="83"/>
      <c r="K86" s="83"/>
      <c r="L86" s="83"/>
      <c r="M86" s="83"/>
      <c r="N86" s="83"/>
      <c r="O86" s="83"/>
      <c r="P86" s="83"/>
      <c r="Q86" s="83"/>
      <c r="R86" s="83"/>
      <c r="S86" s="83"/>
      <c r="T86" s="83"/>
      <c r="U86" s="83"/>
      <c r="V86" s="83"/>
      <c r="W86" s="83"/>
    </row>
    <row r="87" spans="2:23" x14ac:dyDescent="0.25">
      <c r="B87" s="55">
        <v>84</v>
      </c>
      <c r="C87" s="55">
        <v>712</v>
      </c>
      <c r="D87" s="55"/>
      <c r="E87" s="55"/>
      <c r="F87" s="55"/>
      <c r="G87" s="55"/>
      <c r="H87" s="55"/>
      <c r="I87" s="55"/>
      <c r="J87" s="55"/>
      <c r="K87" s="55"/>
      <c r="L87" s="55"/>
      <c r="M87" s="55"/>
      <c r="N87" s="55"/>
      <c r="O87" s="55"/>
      <c r="P87" s="55"/>
      <c r="Q87" s="55"/>
      <c r="R87" s="55"/>
      <c r="S87" s="55"/>
      <c r="T87" s="55"/>
      <c r="U87" s="55"/>
      <c r="V87" s="55"/>
      <c r="W87" s="55"/>
    </row>
    <row r="88" spans="2:23" x14ac:dyDescent="0.25">
      <c r="B88" s="83">
        <v>85</v>
      </c>
      <c r="C88" s="83">
        <v>801</v>
      </c>
      <c r="D88" s="83"/>
      <c r="E88" s="83"/>
      <c r="F88" s="83"/>
      <c r="G88" s="83"/>
      <c r="H88" s="83"/>
      <c r="I88" s="83"/>
      <c r="J88" s="83"/>
      <c r="K88" s="83"/>
      <c r="L88" s="83"/>
      <c r="M88" s="83"/>
      <c r="N88" s="83"/>
      <c r="O88" s="83"/>
      <c r="P88" s="83"/>
      <c r="Q88" s="83"/>
      <c r="R88" s="83"/>
      <c r="S88" s="83"/>
      <c r="T88" s="83"/>
      <c r="U88" s="83"/>
      <c r="V88" s="83"/>
      <c r="W88" s="83"/>
    </row>
    <row r="89" spans="2:23" x14ac:dyDescent="0.25">
      <c r="B89" s="83">
        <v>86</v>
      </c>
      <c r="C89" s="83">
        <v>802</v>
      </c>
      <c r="D89" s="83"/>
      <c r="E89" s="83"/>
      <c r="F89" s="83"/>
      <c r="G89" s="83"/>
      <c r="H89" s="83"/>
      <c r="I89" s="83"/>
      <c r="J89" s="83"/>
      <c r="K89" s="83"/>
      <c r="L89" s="83"/>
      <c r="M89" s="83"/>
      <c r="N89" s="83"/>
      <c r="O89" s="83"/>
      <c r="P89" s="83"/>
      <c r="Q89" s="83"/>
      <c r="R89" s="83"/>
      <c r="S89" s="83"/>
      <c r="T89" s="83"/>
      <c r="U89" s="83"/>
      <c r="V89" s="83"/>
      <c r="W89" s="83"/>
    </row>
    <row r="90" spans="2:23" x14ac:dyDescent="0.25">
      <c r="B90" s="83">
        <v>87</v>
      </c>
      <c r="C90" s="83">
        <v>803</v>
      </c>
      <c r="D90" s="85"/>
      <c r="E90" s="85"/>
      <c r="F90" s="85"/>
      <c r="G90" s="85"/>
      <c r="H90" s="83"/>
      <c r="I90" s="83"/>
      <c r="J90" s="83"/>
      <c r="K90" s="83"/>
      <c r="L90" s="83"/>
      <c r="M90" s="83"/>
      <c r="N90" s="83"/>
      <c r="O90" s="83"/>
      <c r="P90" s="83"/>
      <c r="Q90" s="83"/>
      <c r="R90" s="83"/>
      <c r="S90" s="83"/>
      <c r="T90" s="83"/>
      <c r="U90" s="83"/>
      <c r="V90" s="83"/>
      <c r="W90" s="83"/>
    </row>
    <row r="91" spans="2:23" x14ac:dyDescent="0.25">
      <c r="B91" s="83">
        <v>88</v>
      </c>
      <c r="C91" s="83">
        <v>804</v>
      </c>
      <c r="D91" s="85"/>
      <c r="E91" s="85"/>
      <c r="F91" s="85"/>
      <c r="G91" s="85"/>
      <c r="H91" s="83"/>
      <c r="I91" s="83"/>
      <c r="J91" s="83"/>
      <c r="K91" s="83"/>
      <c r="L91" s="83"/>
      <c r="M91" s="83"/>
      <c r="N91" s="83"/>
      <c r="O91" s="83"/>
      <c r="P91" s="83"/>
      <c r="Q91" s="83"/>
      <c r="R91" s="83"/>
      <c r="S91" s="83"/>
      <c r="T91" s="83"/>
      <c r="U91" s="83"/>
      <c r="V91" s="83"/>
      <c r="W91" s="83"/>
    </row>
    <row r="92" spans="2:23" x14ac:dyDescent="0.25">
      <c r="B92" s="83">
        <v>89</v>
      </c>
      <c r="C92" s="83">
        <v>805</v>
      </c>
      <c r="D92" s="83"/>
      <c r="E92" s="83"/>
      <c r="F92" s="83"/>
      <c r="G92" s="83"/>
      <c r="H92" s="83"/>
      <c r="I92" s="83"/>
      <c r="J92" s="83"/>
      <c r="K92" s="83"/>
      <c r="L92" s="83"/>
      <c r="M92" s="83"/>
      <c r="N92" s="83"/>
      <c r="O92" s="83"/>
      <c r="P92" s="83"/>
      <c r="Q92" s="83"/>
      <c r="R92" s="83"/>
      <c r="S92" s="83"/>
      <c r="T92" s="83"/>
      <c r="U92" s="83"/>
      <c r="V92" s="83"/>
      <c r="W92" s="83"/>
    </row>
    <row r="93" spans="2:23" x14ac:dyDescent="0.25">
      <c r="B93" s="83">
        <v>90</v>
      </c>
      <c r="C93" s="83">
        <v>806</v>
      </c>
      <c r="D93" s="85"/>
      <c r="E93" s="85"/>
      <c r="F93" s="85"/>
      <c r="G93" s="85"/>
      <c r="H93" s="83"/>
      <c r="I93" s="83"/>
      <c r="J93" s="83"/>
      <c r="K93" s="83"/>
      <c r="L93" s="83"/>
      <c r="M93" s="83"/>
      <c r="N93" s="83"/>
      <c r="O93" s="83"/>
      <c r="P93" s="83"/>
      <c r="Q93" s="83"/>
      <c r="R93" s="83"/>
      <c r="S93" s="83"/>
      <c r="T93" s="83"/>
      <c r="U93" s="83"/>
      <c r="V93" s="83"/>
      <c r="W93" s="83"/>
    </row>
    <row r="94" spans="2:23" x14ac:dyDescent="0.25">
      <c r="B94" s="83">
        <v>91</v>
      </c>
      <c r="C94" s="83">
        <v>807</v>
      </c>
      <c r="D94" s="85"/>
      <c r="E94" s="85"/>
      <c r="F94" s="85"/>
      <c r="G94" s="85"/>
      <c r="H94" s="83"/>
      <c r="I94" s="83"/>
      <c r="J94" s="83"/>
      <c r="K94" s="83"/>
      <c r="L94" s="83"/>
      <c r="M94" s="83"/>
      <c r="N94" s="83"/>
      <c r="O94" s="83"/>
      <c r="P94" s="83"/>
      <c r="Q94" s="83"/>
      <c r="R94" s="83"/>
      <c r="S94" s="83"/>
      <c r="T94" s="83"/>
      <c r="U94" s="83"/>
      <c r="V94" s="83"/>
      <c r="W94" s="83"/>
    </row>
    <row r="95" spans="2:23" x14ac:dyDescent="0.25">
      <c r="B95" s="83">
        <v>92</v>
      </c>
      <c r="C95" s="83">
        <v>808</v>
      </c>
      <c r="D95" s="83"/>
      <c r="E95" s="83"/>
      <c r="F95" s="83"/>
      <c r="G95" s="83"/>
      <c r="H95" s="83"/>
      <c r="I95" s="83"/>
      <c r="J95" s="83"/>
      <c r="K95" s="83"/>
      <c r="L95" s="83"/>
      <c r="M95" s="83"/>
      <c r="N95" s="83"/>
      <c r="O95" s="83"/>
      <c r="P95" s="83"/>
      <c r="Q95" s="83"/>
      <c r="R95" s="83"/>
      <c r="S95" s="83"/>
      <c r="T95" s="83"/>
      <c r="U95" s="83"/>
      <c r="V95" s="83"/>
      <c r="W95" s="83"/>
    </row>
    <row r="96" spans="2:23" x14ac:dyDescent="0.25">
      <c r="B96" s="83">
        <v>93</v>
      </c>
      <c r="C96" s="83">
        <v>809</v>
      </c>
      <c r="D96" s="85"/>
      <c r="E96" s="85"/>
      <c r="F96" s="85"/>
      <c r="G96" s="85"/>
      <c r="H96" s="83"/>
      <c r="I96" s="83"/>
      <c r="J96" s="83"/>
      <c r="K96" s="83"/>
      <c r="L96" s="83"/>
      <c r="M96" s="83"/>
      <c r="N96" s="83"/>
      <c r="O96" s="83"/>
      <c r="P96" s="84"/>
      <c r="Q96" s="84"/>
      <c r="R96" s="84"/>
      <c r="S96" s="84"/>
      <c r="T96" s="83"/>
      <c r="U96" s="83"/>
      <c r="V96" s="83"/>
      <c r="W96" s="83"/>
    </row>
    <row r="97" spans="2:23" x14ac:dyDescent="0.25">
      <c r="B97" s="83">
        <v>94</v>
      </c>
      <c r="C97" s="83">
        <v>810</v>
      </c>
      <c r="D97" s="85"/>
      <c r="E97" s="85"/>
      <c r="F97" s="85"/>
      <c r="G97" s="85"/>
      <c r="H97" s="83"/>
      <c r="I97" s="83"/>
      <c r="J97" s="83"/>
      <c r="K97" s="83"/>
      <c r="L97" s="83"/>
      <c r="M97" s="83"/>
      <c r="N97" s="83"/>
      <c r="O97" s="83"/>
      <c r="P97" s="83"/>
      <c r="Q97" s="83"/>
      <c r="R97" s="83"/>
      <c r="S97" s="83"/>
      <c r="T97" s="83"/>
      <c r="U97" s="83"/>
      <c r="V97" s="83"/>
      <c r="W97" s="83"/>
    </row>
    <row r="98" spans="2:23" x14ac:dyDescent="0.25">
      <c r="B98" s="83">
        <v>95</v>
      </c>
      <c r="C98" s="83">
        <v>811</v>
      </c>
      <c r="D98" s="83"/>
      <c r="E98" s="83"/>
      <c r="F98" s="83"/>
      <c r="G98" s="83"/>
      <c r="H98" s="83"/>
      <c r="I98" s="83"/>
      <c r="J98" s="83"/>
      <c r="K98" s="83"/>
      <c r="L98" s="83"/>
      <c r="M98" s="83"/>
      <c r="N98" s="83"/>
      <c r="O98" s="83"/>
      <c r="P98" s="83"/>
      <c r="Q98" s="83"/>
      <c r="R98" s="83"/>
      <c r="S98" s="83"/>
      <c r="T98" s="83"/>
      <c r="U98" s="83"/>
      <c r="V98" s="83"/>
      <c r="W98" s="83"/>
    </row>
    <row r="99" spans="2:23" x14ac:dyDescent="0.25">
      <c r="B99" s="83">
        <v>96</v>
      </c>
      <c r="C99" s="83">
        <v>812</v>
      </c>
      <c r="D99" s="83"/>
      <c r="E99" s="83"/>
      <c r="F99" s="83"/>
      <c r="G99" s="83"/>
      <c r="H99" s="83"/>
      <c r="I99" s="83"/>
      <c r="J99" s="83"/>
      <c r="K99" s="83"/>
      <c r="L99" s="83"/>
      <c r="M99" s="83"/>
      <c r="N99" s="83"/>
      <c r="O99" s="83"/>
      <c r="P99" s="83"/>
      <c r="Q99" s="83"/>
      <c r="R99" s="83"/>
      <c r="S99" s="83"/>
      <c r="T99" s="83"/>
      <c r="U99" s="83"/>
      <c r="V99" s="83"/>
      <c r="W99" s="83"/>
    </row>
    <row r="100" spans="2:23" x14ac:dyDescent="0.25">
      <c r="B100" s="83">
        <v>97</v>
      </c>
      <c r="C100" s="83">
        <v>901</v>
      </c>
      <c r="D100" s="83"/>
      <c r="E100" s="83"/>
      <c r="F100" s="83"/>
      <c r="G100" s="83"/>
      <c r="H100" s="83"/>
      <c r="I100" s="83"/>
      <c r="J100" s="83"/>
      <c r="K100" s="83"/>
      <c r="L100" s="83"/>
      <c r="M100" s="83"/>
      <c r="N100" s="83"/>
      <c r="O100" s="83"/>
      <c r="P100" s="83"/>
      <c r="Q100" s="83"/>
      <c r="R100" s="83"/>
      <c r="S100" s="83"/>
      <c r="T100" s="83"/>
      <c r="U100" s="83"/>
      <c r="V100" s="83"/>
      <c r="W100" s="83"/>
    </row>
    <row r="101" spans="2:23" x14ac:dyDescent="0.25">
      <c r="B101" s="83">
        <v>98</v>
      </c>
      <c r="C101" s="83">
        <v>902</v>
      </c>
      <c r="D101" s="83"/>
      <c r="E101" s="83"/>
      <c r="F101" s="83"/>
      <c r="G101" s="83"/>
      <c r="H101" s="83"/>
      <c r="I101" s="83"/>
      <c r="J101" s="83"/>
      <c r="K101" s="83"/>
      <c r="L101" s="83"/>
      <c r="M101" s="83"/>
      <c r="N101" s="83"/>
      <c r="O101" s="83"/>
      <c r="P101" s="83"/>
      <c r="Q101" s="83"/>
      <c r="R101" s="83"/>
      <c r="S101" s="83"/>
      <c r="T101" s="83"/>
      <c r="U101" s="83"/>
      <c r="V101" s="83"/>
      <c r="W101" s="83"/>
    </row>
    <row r="102" spans="2:23" x14ac:dyDescent="0.25">
      <c r="B102" s="83">
        <v>99</v>
      </c>
      <c r="C102" s="83">
        <v>903</v>
      </c>
      <c r="D102" s="86"/>
      <c r="E102" s="86"/>
      <c r="F102" s="86"/>
      <c r="G102" s="86"/>
      <c r="H102" s="83"/>
      <c r="I102" s="83"/>
      <c r="J102" s="83"/>
      <c r="K102" s="83"/>
      <c r="L102" s="83"/>
      <c r="M102" s="83"/>
      <c r="N102" s="83"/>
      <c r="O102" s="83"/>
      <c r="P102" s="83"/>
      <c r="Q102" s="83"/>
      <c r="R102" s="83"/>
      <c r="S102" s="83"/>
      <c r="T102" s="83"/>
      <c r="U102" s="83"/>
      <c r="V102" s="83"/>
      <c r="W102" s="83"/>
    </row>
    <row r="103" spans="2:23" x14ac:dyDescent="0.25">
      <c r="B103" s="83">
        <v>100</v>
      </c>
      <c r="C103" s="83">
        <v>904</v>
      </c>
      <c r="D103" s="86"/>
      <c r="E103" s="86"/>
      <c r="F103" s="86"/>
      <c r="G103" s="86"/>
      <c r="H103" s="83"/>
      <c r="I103" s="83"/>
      <c r="J103" s="83"/>
      <c r="K103" s="83"/>
      <c r="L103" s="83"/>
      <c r="M103" s="83"/>
      <c r="N103" s="83"/>
      <c r="O103" s="83"/>
      <c r="P103" s="83"/>
      <c r="Q103" s="83"/>
      <c r="R103" s="83"/>
      <c r="S103" s="83"/>
      <c r="T103" s="83"/>
      <c r="U103" s="83"/>
      <c r="V103" s="83"/>
      <c r="W103" s="83"/>
    </row>
    <row r="104" spans="2:23" x14ac:dyDescent="0.25">
      <c r="B104" s="83">
        <v>101</v>
      </c>
      <c r="C104" s="83">
        <v>905</v>
      </c>
      <c r="D104" s="86"/>
      <c r="E104" s="86"/>
      <c r="F104" s="86"/>
      <c r="G104" s="86"/>
      <c r="H104" s="83"/>
      <c r="I104" s="83"/>
      <c r="J104" s="83"/>
      <c r="K104" s="83"/>
      <c r="L104" s="83"/>
      <c r="M104" s="83"/>
      <c r="N104" s="83"/>
      <c r="O104" s="83"/>
      <c r="P104" s="83"/>
      <c r="Q104" s="83"/>
      <c r="R104" s="83"/>
      <c r="S104" s="83"/>
      <c r="T104" s="83"/>
      <c r="U104" s="83"/>
      <c r="V104" s="83"/>
      <c r="W104" s="83"/>
    </row>
    <row r="105" spans="2:23" x14ac:dyDescent="0.25">
      <c r="B105" s="83">
        <v>102</v>
      </c>
      <c r="C105" s="83">
        <v>906</v>
      </c>
      <c r="D105" s="86"/>
      <c r="E105" s="86"/>
      <c r="F105" s="86"/>
      <c r="G105" s="86"/>
      <c r="H105" s="83"/>
      <c r="I105" s="83"/>
      <c r="J105" s="83"/>
      <c r="K105" s="83"/>
      <c r="L105" s="83"/>
      <c r="M105" s="83"/>
      <c r="N105" s="83"/>
      <c r="O105" s="83"/>
      <c r="P105" s="83"/>
      <c r="Q105" s="83"/>
      <c r="R105" s="83"/>
      <c r="S105" s="83"/>
      <c r="T105" s="83"/>
      <c r="U105" s="83"/>
      <c r="V105" s="83"/>
      <c r="W105" s="83"/>
    </row>
    <row r="106" spans="2:23" x14ac:dyDescent="0.25">
      <c r="B106" s="83">
        <v>103</v>
      </c>
      <c r="C106" s="83">
        <v>907</v>
      </c>
      <c r="D106" s="86"/>
      <c r="E106" s="86"/>
      <c r="F106" s="86"/>
      <c r="G106" s="86"/>
      <c r="H106" s="83"/>
      <c r="I106" s="83"/>
      <c r="J106" s="83"/>
      <c r="K106" s="83"/>
      <c r="L106" s="83"/>
      <c r="M106" s="83"/>
      <c r="N106" s="83"/>
      <c r="O106" s="83"/>
      <c r="P106" s="83"/>
      <c r="Q106" s="83"/>
      <c r="R106" s="83"/>
      <c r="S106" s="83"/>
      <c r="T106" s="83"/>
      <c r="U106" s="83"/>
      <c r="V106" s="83"/>
      <c r="W106" s="83"/>
    </row>
    <row r="107" spans="2:23" x14ac:dyDescent="0.25">
      <c r="B107" s="83">
        <v>104</v>
      </c>
      <c r="C107" s="83">
        <v>908</v>
      </c>
      <c r="D107" s="86"/>
      <c r="E107" s="86"/>
      <c r="F107" s="86"/>
      <c r="G107" s="86"/>
      <c r="H107" s="83"/>
      <c r="I107" s="83"/>
      <c r="J107" s="83"/>
      <c r="K107" s="83"/>
      <c r="L107" s="83"/>
      <c r="M107" s="83"/>
      <c r="N107" s="83"/>
      <c r="O107" s="83"/>
      <c r="P107" s="83"/>
      <c r="Q107" s="83"/>
      <c r="R107" s="83"/>
      <c r="S107" s="83"/>
      <c r="T107" s="83"/>
      <c r="U107" s="83"/>
      <c r="V107" s="83"/>
      <c r="W107" s="83"/>
    </row>
    <row r="108" spans="2:23" x14ac:dyDescent="0.25">
      <c r="B108" s="83">
        <v>105</v>
      </c>
      <c r="C108" s="83">
        <v>909</v>
      </c>
      <c r="D108" s="86"/>
      <c r="E108" s="86"/>
      <c r="F108" s="86"/>
      <c r="G108" s="86"/>
      <c r="H108" s="83"/>
      <c r="I108" s="83"/>
      <c r="J108" s="83"/>
      <c r="K108" s="83"/>
      <c r="L108" s="83"/>
      <c r="M108" s="83"/>
      <c r="N108" s="83"/>
      <c r="O108" s="83"/>
      <c r="P108" s="83"/>
      <c r="Q108" s="83"/>
      <c r="R108" s="83"/>
      <c r="S108" s="83"/>
      <c r="T108" s="83"/>
      <c r="U108" s="83"/>
      <c r="V108" s="83"/>
      <c r="W108" s="83"/>
    </row>
    <row r="109" spans="2:23" x14ac:dyDescent="0.25">
      <c r="B109" s="83">
        <v>106</v>
      </c>
      <c r="C109" s="83">
        <v>910</v>
      </c>
      <c r="D109" s="86"/>
      <c r="E109" s="86"/>
      <c r="F109" s="86"/>
      <c r="G109" s="86"/>
      <c r="H109" s="83"/>
      <c r="I109" s="83"/>
      <c r="J109" s="83"/>
      <c r="K109" s="83"/>
      <c r="L109" s="84"/>
      <c r="M109" s="84"/>
      <c r="N109" s="84"/>
      <c r="O109" s="84"/>
      <c r="P109" s="83"/>
      <c r="Q109" s="83"/>
      <c r="R109" s="83"/>
      <c r="S109" s="83"/>
      <c r="T109" s="83"/>
      <c r="U109" s="83"/>
      <c r="V109" s="83"/>
      <c r="W109" s="83"/>
    </row>
    <row r="110" spans="2:23" x14ac:dyDescent="0.25">
      <c r="B110" s="83">
        <v>107</v>
      </c>
      <c r="C110" s="83">
        <v>911</v>
      </c>
      <c r="D110" s="83"/>
      <c r="E110" s="83"/>
      <c r="F110" s="83"/>
      <c r="G110" s="83"/>
      <c r="H110" s="83"/>
      <c r="I110" s="83"/>
      <c r="J110" s="83"/>
      <c r="K110" s="83"/>
      <c r="L110" s="83"/>
      <c r="M110" s="83"/>
      <c r="N110" s="83"/>
      <c r="O110" s="83"/>
      <c r="P110" s="83"/>
      <c r="Q110" s="83"/>
      <c r="R110" s="83"/>
      <c r="S110" s="83"/>
      <c r="T110" s="83"/>
      <c r="U110" s="83"/>
      <c r="V110" s="83"/>
      <c r="W110" s="83"/>
    </row>
    <row r="111" spans="2:23" x14ac:dyDescent="0.25">
      <c r="B111" s="83">
        <v>108</v>
      </c>
      <c r="C111" s="83">
        <v>912</v>
      </c>
      <c r="D111" s="83"/>
      <c r="E111" s="83"/>
      <c r="F111" s="83"/>
      <c r="G111" s="83"/>
      <c r="H111" s="83"/>
      <c r="I111" s="83"/>
      <c r="J111" s="83"/>
      <c r="K111" s="83"/>
      <c r="L111" s="83"/>
      <c r="M111" s="83"/>
      <c r="N111" s="83"/>
      <c r="O111" s="83"/>
      <c r="P111" s="84"/>
      <c r="Q111" s="84"/>
      <c r="R111" s="84"/>
      <c r="S111" s="84"/>
      <c r="T111" s="83"/>
      <c r="U111" s="83"/>
      <c r="V111" s="83"/>
      <c r="W111" s="83"/>
    </row>
    <row r="112" spans="2:23" x14ac:dyDescent="0.25">
      <c r="B112" s="83">
        <v>109</v>
      </c>
      <c r="C112" s="83">
        <v>1001</v>
      </c>
      <c r="D112" s="83"/>
      <c r="E112" s="83"/>
      <c r="F112" s="83"/>
      <c r="G112" s="83"/>
      <c r="H112" s="83"/>
      <c r="I112" s="83"/>
      <c r="J112" s="83"/>
      <c r="K112" s="83"/>
      <c r="L112" s="83"/>
      <c r="M112" s="83"/>
      <c r="N112" s="83"/>
      <c r="O112" s="83"/>
      <c r="P112" s="83"/>
      <c r="Q112" s="83"/>
      <c r="R112" s="83"/>
      <c r="S112" s="83"/>
      <c r="T112" s="83"/>
      <c r="U112" s="83"/>
      <c r="V112" s="83"/>
      <c r="W112" s="83"/>
    </row>
    <row r="113" spans="2:23" x14ac:dyDescent="0.25">
      <c r="B113" s="83">
        <v>110</v>
      </c>
      <c r="C113" s="83">
        <v>1002</v>
      </c>
      <c r="D113" s="83"/>
      <c r="E113" s="83"/>
      <c r="F113" s="83"/>
      <c r="G113" s="83"/>
      <c r="H113" s="83"/>
      <c r="I113" s="83"/>
      <c r="J113" s="83"/>
      <c r="K113" s="83"/>
      <c r="L113" s="83"/>
      <c r="M113" s="83"/>
      <c r="N113" s="83"/>
      <c r="O113" s="83"/>
      <c r="P113" s="83"/>
      <c r="Q113" s="83"/>
      <c r="R113" s="83"/>
      <c r="S113" s="83"/>
      <c r="T113" s="83"/>
      <c r="U113" s="83"/>
      <c r="V113" s="83"/>
      <c r="W113" s="83"/>
    </row>
    <row r="114" spans="2:23" x14ac:dyDescent="0.25">
      <c r="B114" s="83">
        <v>111</v>
      </c>
      <c r="C114" s="83">
        <v>1003</v>
      </c>
      <c r="D114" s="83"/>
      <c r="E114" s="83"/>
      <c r="F114" s="83"/>
      <c r="G114" s="83"/>
      <c r="H114" s="83"/>
      <c r="I114" s="83"/>
      <c r="J114" s="83"/>
      <c r="K114" s="83"/>
      <c r="L114" s="83"/>
      <c r="M114" s="83"/>
      <c r="N114" s="83"/>
      <c r="O114" s="83"/>
      <c r="P114" s="83"/>
      <c r="Q114" s="83"/>
      <c r="R114" s="83"/>
      <c r="S114" s="83"/>
      <c r="T114" s="83"/>
      <c r="U114" s="83"/>
      <c r="V114" s="83"/>
      <c r="W114" s="83"/>
    </row>
    <row r="115" spans="2:23" x14ac:dyDescent="0.25">
      <c r="B115" s="83">
        <v>112</v>
      </c>
      <c r="C115" s="83">
        <v>1004</v>
      </c>
      <c r="D115" s="83"/>
      <c r="E115" s="83"/>
      <c r="F115" s="83"/>
      <c r="G115" s="83"/>
      <c r="H115" s="83"/>
      <c r="I115" s="83"/>
      <c r="J115" s="83"/>
      <c r="K115" s="83"/>
      <c r="L115" s="83"/>
      <c r="M115" s="83"/>
      <c r="N115" s="83"/>
      <c r="O115" s="83"/>
      <c r="P115" s="83"/>
      <c r="Q115" s="83"/>
      <c r="R115" s="83"/>
      <c r="S115" s="83"/>
      <c r="T115" s="83"/>
      <c r="U115" s="83"/>
      <c r="V115" s="83"/>
      <c r="W115" s="83"/>
    </row>
    <row r="116" spans="2:23" x14ac:dyDescent="0.25">
      <c r="B116" s="83">
        <v>113</v>
      </c>
      <c r="C116" s="83">
        <v>1005</v>
      </c>
      <c r="D116" s="83"/>
      <c r="E116" s="83"/>
      <c r="F116" s="83"/>
      <c r="G116" s="83"/>
      <c r="H116" s="83"/>
      <c r="I116" s="83"/>
      <c r="J116" s="83"/>
      <c r="K116" s="83"/>
      <c r="L116" s="83"/>
      <c r="M116" s="83"/>
      <c r="N116" s="83"/>
      <c r="O116" s="83"/>
      <c r="P116" s="83"/>
      <c r="Q116" s="83"/>
      <c r="R116" s="83"/>
      <c r="S116" s="83"/>
      <c r="T116" s="83"/>
      <c r="U116" s="83"/>
      <c r="V116" s="83"/>
      <c r="W116" s="83"/>
    </row>
    <row r="117" spans="2:23" x14ac:dyDescent="0.25">
      <c r="B117" s="83">
        <v>114</v>
      </c>
      <c r="C117" s="83">
        <v>1006</v>
      </c>
      <c r="D117" s="83"/>
      <c r="E117" s="83"/>
      <c r="F117" s="83"/>
      <c r="G117" s="83"/>
      <c r="H117" s="83"/>
      <c r="I117" s="83"/>
      <c r="J117" s="83"/>
      <c r="K117" s="83"/>
      <c r="L117" s="83"/>
      <c r="M117" s="83"/>
      <c r="N117" s="83"/>
      <c r="O117" s="83"/>
      <c r="P117" s="83"/>
      <c r="Q117" s="83"/>
      <c r="R117" s="83"/>
      <c r="S117" s="83"/>
      <c r="T117" s="83"/>
      <c r="U117" s="83"/>
      <c r="V117" s="83"/>
      <c r="W117" s="83"/>
    </row>
    <row r="118" spans="2:23" x14ac:dyDescent="0.25">
      <c r="B118" s="83">
        <v>115</v>
      </c>
      <c r="C118" s="83">
        <v>1007</v>
      </c>
      <c r="D118" s="83"/>
      <c r="E118" s="83"/>
      <c r="F118" s="83"/>
      <c r="G118" s="83"/>
      <c r="H118" s="83"/>
      <c r="I118" s="83"/>
      <c r="J118" s="83"/>
      <c r="K118" s="83"/>
      <c r="L118" s="83"/>
      <c r="M118" s="83"/>
      <c r="N118" s="83"/>
      <c r="O118" s="83"/>
      <c r="P118" s="83"/>
      <c r="Q118" s="83"/>
      <c r="R118" s="83"/>
      <c r="S118" s="83"/>
      <c r="T118" s="83"/>
      <c r="U118" s="83"/>
      <c r="V118" s="83"/>
      <c r="W118" s="83"/>
    </row>
    <row r="119" spans="2:23" x14ac:dyDescent="0.25">
      <c r="B119" s="83">
        <v>116</v>
      </c>
      <c r="C119" s="83">
        <v>1008</v>
      </c>
      <c r="D119" s="83"/>
      <c r="E119" s="83"/>
      <c r="F119" s="83"/>
      <c r="G119" s="83"/>
      <c r="H119" s="83"/>
      <c r="I119" s="83"/>
      <c r="J119" s="83"/>
      <c r="K119" s="83"/>
      <c r="L119" s="83"/>
      <c r="M119" s="83"/>
      <c r="N119" s="83"/>
      <c r="O119" s="83"/>
      <c r="P119" s="83"/>
      <c r="Q119" s="83"/>
      <c r="R119" s="83"/>
      <c r="S119" s="83"/>
      <c r="T119" s="83"/>
      <c r="U119" s="83"/>
      <c r="V119" s="83"/>
      <c r="W119" s="83"/>
    </row>
    <row r="120" spans="2:23" x14ac:dyDescent="0.25">
      <c r="B120" s="83">
        <v>117</v>
      </c>
      <c r="C120" s="83">
        <v>1009</v>
      </c>
      <c r="D120" s="83"/>
      <c r="E120" s="83"/>
      <c r="F120" s="83"/>
      <c r="G120" s="83"/>
      <c r="H120" s="83"/>
      <c r="I120" s="83"/>
      <c r="J120" s="83"/>
      <c r="K120" s="83"/>
      <c r="L120" s="83"/>
      <c r="M120" s="83"/>
      <c r="N120" s="83"/>
      <c r="O120" s="83"/>
      <c r="P120" s="83"/>
      <c r="Q120" s="83"/>
      <c r="R120" s="83"/>
      <c r="S120" s="83"/>
      <c r="T120" s="83"/>
      <c r="U120" s="83"/>
      <c r="V120" s="83"/>
      <c r="W120" s="83"/>
    </row>
    <row r="121" spans="2:23" x14ac:dyDescent="0.25">
      <c r="B121" s="83">
        <v>118</v>
      </c>
      <c r="C121" s="83">
        <v>1010</v>
      </c>
      <c r="D121" s="83"/>
      <c r="E121" s="83"/>
      <c r="F121" s="83"/>
      <c r="G121" s="83"/>
      <c r="H121" s="83"/>
      <c r="I121" s="83"/>
      <c r="J121" s="83"/>
      <c r="K121" s="83"/>
      <c r="L121" s="83"/>
      <c r="M121" s="83"/>
      <c r="N121" s="83"/>
      <c r="O121" s="83"/>
      <c r="P121" s="83"/>
      <c r="Q121" s="83"/>
      <c r="R121" s="83"/>
      <c r="S121" s="83"/>
      <c r="T121" s="83"/>
      <c r="U121" s="83"/>
      <c r="V121" s="83"/>
      <c r="W121" s="83"/>
    </row>
    <row r="122" spans="2:23" x14ac:dyDescent="0.25">
      <c r="B122" s="83">
        <v>119</v>
      </c>
      <c r="C122" s="83">
        <v>1011</v>
      </c>
      <c r="D122" s="83"/>
      <c r="E122" s="83"/>
      <c r="F122" s="83"/>
      <c r="G122" s="83"/>
      <c r="H122" s="83"/>
      <c r="I122" s="83"/>
      <c r="J122" s="83"/>
      <c r="K122" s="83"/>
      <c r="L122" s="83"/>
      <c r="M122" s="83"/>
      <c r="N122" s="83"/>
      <c r="O122" s="83"/>
      <c r="P122" s="83"/>
      <c r="Q122" s="83"/>
      <c r="R122" s="83"/>
      <c r="S122" s="83"/>
      <c r="T122" s="83"/>
      <c r="U122" s="83"/>
      <c r="V122" s="83"/>
      <c r="W122" s="83"/>
    </row>
    <row r="123" spans="2:23" x14ac:dyDescent="0.25">
      <c r="B123" s="83">
        <v>120</v>
      </c>
      <c r="C123" s="83">
        <v>1012</v>
      </c>
      <c r="D123" s="83"/>
      <c r="E123" s="83"/>
      <c r="F123" s="83"/>
      <c r="G123" s="83"/>
      <c r="H123" s="83"/>
      <c r="I123" s="83"/>
      <c r="J123" s="83"/>
      <c r="K123" s="83"/>
      <c r="L123" s="83"/>
      <c r="M123" s="83"/>
      <c r="N123" s="83"/>
      <c r="O123" s="83"/>
      <c r="P123" s="83"/>
      <c r="Q123" s="83"/>
      <c r="R123" s="83"/>
      <c r="S123" s="83"/>
      <c r="T123" s="83"/>
      <c r="U123" s="83"/>
      <c r="V123" s="83"/>
      <c r="W123" s="83"/>
    </row>
    <row r="124" spans="2:23" x14ac:dyDescent="0.25">
      <c r="B124" s="83">
        <v>121</v>
      </c>
      <c r="C124" s="83">
        <v>1101</v>
      </c>
      <c r="D124" s="83"/>
      <c r="E124" s="83"/>
      <c r="F124" s="83"/>
      <c r="G124" s="83"/>
      <c r="H124" s="83"/>
      <c r="I124" s="83"/>
      <c r="J124" s="83"/>
      <c r="K124" s="83"/>
      <c r="L124" s="83"/>
      <c r="M124" s="83"/>
      <c r="N124" s="83"/>
      <c r="O124" s="83"/>
      <c r="P124" s="83"/>
      <c r="Q124" s="83"/>
      <c r="R124" s="83"/>
      <c r="S124" s="83"/>
      <c r="T124" s="83"/>
      <c r="U124" s="83"/>
      <c r="V124" s="83"/>
      <c r="W124" s="83"/>
    </row>
    <row r="125" spans="2:23" x14ac:dyDescent="0.25">
      <c r="B125" s="83">
        <v>122</v>
      </c>
      <c r="C125" s="83">
        <v>1102</v>
      </c>
      <c r="D125" s="83"/>
      <c r="E125" s="83"/>
      <c r="F125" s="83"/>
      <c r="G125" s="83"/>
      <c r="H125" s="83"/>
      <c r="I125" s="83"/>
      <c r="J125" s="83"/>
      <c r="K125" s="83"/>
      <c r="L125" s="83"/>
      <c r="M125" s="83"/>
      <c r="N125" s="83"/>
      <c r="O125" s="83"/>
      <c r="P125" s="83"/>
      <c r="Q125" s="83"/>
      <c r="R125" s="83"/>
      <c r="S125" s="83"/>
      <c r="T125" s="83"/>
      <c r="U125" s="83"/>
      <c r="V125" s="83"/>
      <c r="W125" s="83"/>
    </row>
    <row r="126" spans="2:23" x14ac:dyDescent="0.25">
      <c r="B126" s="83">
        <v>123</v>
      </c>
      <c r="C126" s="83">
        <v>1103</v>
      </c>
      <c r="D126" s="83"/>
      <c r="E126" s="83"/>
      <c r="F126" s="83"/>
      <c r="G126" s="83"/>
      <c r="H126" s="83"/>
      <c r="I126" s="83"/>
      <c r="J126" s="83"/>
      <c r="K126" s="83"/>
      <c r="L126" s="83"/>
      <c r="M126" s="83"/>
      <c r="N126" s="83"/>
      <c r="O126" s="83"/>
      <c r="P126" s="83"/>
      <c r="Q126" s="83"/>
      <c r="R126" s="83"/>
      <c r="S126" s="83"/>
      <c r="T126" s="83"/>
      <c r="U126" s="83"/>
      <c r="V126" s="83"/>
      <c r="W126" s="83"/>
    </row>
    <row r="127" spans="2:23" x14ac:dyDescent="0.25">
      <c r="B127" s="83">
        <v>124</v>
      </c>
      <c r="C127" s="83">
        <v>1104</v>
      </c>
      <c r="D127" s="83"/>
      <c r="E127" s="83"/>
      <c r="F127" s="83"/>
      <c r="G127" s="83"/>
      <c r="H127" s="83"/>
      <c r="I127" s="83"/>
      <c r="J127" s="83"/>
      <c r="K127" s="83"/>
      <c r="L127" s="83"/>
      <c r="M127" s="83"/>
      <c r="N127" s="83"/>
      <c r="O127" s="83"/>
      <c r="P127" s="83"/>
      <c r="Q127" s="83"/>
      <c r="R127" s="83"/>
      <c r="S127" s="83"/>
      <c r="T127" s="83"/>
      <c r="U127" s="83"/>
      <c r="V127" s="83"/>
      <c r="W127" s="83"/>
    </row>
    <row r="128" spans="2:23" x14ac:dyDescent="0.25">
      <c r="B128" s="83">
        <v>125</v>
      </c>
      <c r="C128" s="83">
        <v>1105</v>
      </c>
      <c r="D128" s="83"/>
      <c r="E128" s="83"/>
      <c r="F128" s="83"/>
      <c r="G128" s="83"/>
      <c r="H128" s="83"/>
      <c r="I128" s="83"/>
      <c r="J128" s="83"/>
      <c r="K128" s="83"/>
      <c r="L128" s="83"/>
      <c r="M128" s="83"/>
      <c r="N128" s="83"/>
      <c r="O128" s="83"/>
      <c r="P128" s="83"/>
      <c r="Q128" s="83"/>
      <c r="R128" s="83"/>
      <c r="S128" s="83"/>
      <c r="T128" s="83"/>
      <c r="U128" s="83"/>
      <c r="V128" s="83"/>
      <c r="W128" s="83"/>
    </row>
    <row r="129" spans="2:23" x14ac:dyDescent="0.25">
      <c r="B129" s="83">
        <v>126</v>
      </c>
      <c r="C129" s="83">
        <v>1106</v>
      </c>
      <c r="D129" s="83"/>
      <c r="E129" s="83"/>
      <c r="F129" s="83"/>
      <c r="G129" s="83"/>
      <c r="H129" s="83"/>
      <c r="I129" s="83"/>
      <c r="J129" s="83"/>
      <c r="K129" s="83"/>
      <c r="L129" s="83"/>
      <c r="M129" s="83"/>
      <c r="N129" s="83"/>
      <c r="O129" s="83"/>
      <c r="P129" s="83"/>
      <c r="Q129" s="83"/>
      <c r="R129" s="83"/>
      <c r="S129" s="83"/>
      <c r="T129" s="83"/>
      <c r="U129" s="83"/>
      <c r="V129" s="83"/>
      <c r="W129" s="83"/>
    </row>
    <row r="130" spans="2:23" x14ac:dyDescent="0.25">
      <c r="B130" s="83">
        <v>127</v>
      </c>
      <c r="C130" s="83">
        <v>1107</v>
      </c>
      <c r="D130" s="83"/>
      <c r="E130" s="83"/>
      <c r="F130" s="83"/>
      <c r="G130" s="83"/>
      <c r="H130" s="83"/>
      <c r="I130" s="83"/>
      <c r="J130" s="83"/>
      <c r="K130" s="83"/>
      <c r="L130" s="83"/>
      <c r="M130" s="83"/>
      <c r="N130" s="83"/>
      <c r="O130" s="83"/>
      <c r="P130" s="83"/>
      <c r="Q130" s="83"/>
      <c r="R130" s="83"/>
      <c r="S130" s="83"/>
      <c r="T130" s="83"/>
      <c r="U130" s="83"/>
      <c r="V130" s="83"/>
      <c r="W130" s="83"/>
    </row>
    <row r="131" spans="2:23" x14ac:dyDescent="0.25">
      <c r="B131" s="83">
        <v>128</v>
      </c>
      <c r="C131" s="83">
        <v>1108</v>
      </c>
      <c r="D131" s="83"/>
      <c r="E131" s="83"/>
      <c r="F131" s="83"/>
      <c r="G131" s="83"/>
      <c r="H131" s="83"/>
      <c r="I131" s="83"/>
      <c r="J131" s="83"/>
      <c r="K131" s="83"/>
      <c r="L131" s="83"/>
      <c r="M131" s="83"/>
      <c r="N131" s="83"/>
      <c r="O131" s="83"/>
      <c r="P131" s="83"/>
      <c r="Q131" s="83"/>
      <c r="R131" s="83"/>
      <c r="S131" s="83"/>
      <c r="T131" s="83"/>
      <c r="U131" s="83"/>
      <c r="V131" s="83"/>
      <c r="W131" s="83"/>
    </row>
    <row r="132" spans="2:23" x14ac:dyDescent="0.25">
      <c r="B132" s="83">
        <v>129</v>
      </c>
      <c r="C132" s="83">
        <v>1109</v>
      </c>
      <c r="D132" s="83"/>
      <c r="E132" s="83"/>
      <c r="F132" s="83"/>
      <c r="G132" s="83"/>
      <c r="H132" s="83"/>
      <c r="I132" s="83"/>
      <c r="J132" s="83"/>
      <c r="K132" s="83"/>
      <c r="L132" s="83"/>
      <c r="M132" s="83"/>
      <c r="N132" s="83"/>
      <c r="O132" s="83"/>
      <c r="P132" s="83"/>
      <c r="Q132" s="83"/>
      <c r="R132" s="83"/>
      <c r="S132" s="83"/>
      <c r="T132" s="83"/>
      <c r="U132" s="83"/>
      <c r="V132" s="83"/>
      <c r="W132" s="83"/>
    </row>
    <row r="133" spans="2:23" x14ac:dyDescent="0.25">
      <c r="B133" s="83">
        <v>130</v>
      </c>
      <c r="C133" s="83">
        <v>1110</v>
      </c>
      <c r="D133" s="83"/>
      <c r="E133" s="83"/>
      <c r="F133" s="83"/>
      <c r="G133" s="83"/>
      <c r="H133" s="83"/>
      <c r="I133" s="83"/>
      <c r="J133" s="83"/>
      <c r="K133" s="83"/>
      <c r="L133" s="83"/>
      <c r="M133" s="83"/>
      <c r="N133" s="83"/>
      <c r="O133" s="83"/>
      <c r="P133" s="83"/>
      <c r="Q133" s="83"/>
      <c r="R133" s="83"/>
      <c r="S133" s="83"/>
      <c r="T133" s="83"/>
      <c r="U133" s="83"/>
      <c r="V133" s="83"/>
      <c r="W133" s="83"/>
    </row>
    <row r="134" spans="2:23" x14ac:dyDescent="0.25">
      <c r="B134" s="83">
        <v>131</v>
      </c>
      <c r="C134" s="83">
        <v>1111</v>
      </c>
      <c r="D134" s="83"/>
      <c r="E134" s="83"/>
      <c r="F134" s="83"/>
      <c r="G134" s="83"/>
      <c r="H134" s="83"/>
      <c r="I134" s="83"/>
      <c r="J134" s="83"/>
      <c r="K134" s="83"/>
      <c r="L134" s="83"/>
      <c r="M134" s="83"/>
      <c r="N134" s="83"/>
      <c r="O134" s="83"/>
      <c r="P134" s="83"/>
      <c r="Q134" s="83"/>
      <c r="R134" s="83"/>
      <c r="S134" s="83"/>
      <c r="T134" s="83"/>
      <c r="U134" s="83"/>
      <c r="V134" s="83"/>
      <c r="W134" s="83"/>
    </row>
    <row r="135" spans="2:23" x14ac:dyDescent="0.25">
      <c r="B135" s="83">
        <v>132</v>
      </c>
      <c r="C135" s="83">
        <v>1112</v>
      </c>
      <c r="D135" s="83"/>
      <c r="E135" s="83"/>
      <c r="F135" s="83"/>
      <c r="G135" s="83"/>
      <c r="H135" s="83"/>
      <c r="I135" s="83"/>
      <c r="J135" s="83"/>
      <c r="K135" s="83"/>
      <c r="L135" s="83"/>
      <c r="M135" s="83"/>
      <c r="N135" s="83"/>
      <c r="O135" s="83"/>
      <c r="P135" s="83"/>
      <c r="Q135" s="83"/>
      <c r="R135" s="83"/>
      <c r="S135" s="83"/>
      <c r="T135" s="83"/>
      <c r="U135" s="83"/>
      <c r="V135" s="83"/>
      <c r="W135" s="83"/>
    </row>
    <row r="136" spans="2:23" x14ac:dyDescent="0.25">
      <c r="B136" s="83">
        <v>133</v>
      </c>
      <c r="C136" s="83">
        <v>1201</v>
      </c>
      <c r="D136" s="83"/>
      <c r="E136" s="83"/>
      <c r="F136" s="83"/>
      <c r="G136" s="83"/>
      <c r="H136" s="83"/>
      <c r="I136" s="83"/>
      <c r="J136" s="83"/>
      <c r="K136" s="83"/>
      <c r="L136" s="83"/>
      <c r="M136" s="83"/>
      <c r="N136" s="83"/>
      <c r="O136" s="83"/>
      <c r="P136" s="83"/>
      <c r="Q136" s="83"/>
      <c r="R136" s="83"/>
      <c r="S136" s="83"/>
      <c r="T136" s="83"/>
      <c r="U136" s="83"/>
      <c r="V136" s="83"/>
      <c r="W136" s="83"/>
    </row>
    <row r="137" spans="2:23" x14ac:dyDescent="0.25">
      <c r="B137" s="83">
        <v>134</v>
      </c>
      <c r="C137" s="83">
        <v>1202</v>
      </c>
      <c r="D137" s="83"/>
      <c r="E137" s="83"/>
      <c r="F137" s="83"/>
      <c r="G137" s="83"/>
      <c r="H137" s="83"/>
      <c r="I137" s="83"/>
      <c r="J137" s="83"/>
      <c r="K137" s="83"/>
      <c r="L137" s="83"/>
      <c r="M137" s="83"/>
      <c r="N137" s="83"/>
      <c r="O137" s="83"/>
      <c r="P137" s="83"/>
      <c r="Q137" s="83"/>
      <c r="R137" s="83"/>
      <c r="S137" s="83"/>
      <c r="T137" s="83"/>
      <c r="U137" s="83"/>
      <c r="V137" s="83"/>
      <c r="W137" s="83"/>
    </row>
    <row r="138" spans="2:23" x14ac:dyDescent="0.25">
      <c r="B138" s="83">
        <v>135</v>
      </c>
      <c r="C138" s="83">
        <v>1203</v>
      </c>
      <c r="D138" s="87"/>
      <c r="E138" s="87"/>
      <c r="F138" s="87"/>
      <c r="G138" s="87"/>
      <c r="H138" s="83"/>
      <c r="I138" s="83"/>
      <c r="J138" s="83"/>
      <c r="K138" s="83"/>
      <c r="L138" s="83"/>
      <c r="M138" s="83"/>
      <c r="N138" s="83"/>
      <c r="O138" s="83"/>
      <c r="P138" s="83"/>
      <c r="Q138" s="83"/>
      <c r="R138" s="83"/>
      <c r="S138" s="83"/>
      <c r="T138" s="83"/>
      <c r="U138" s="83"/>
      <c r="V138" s="83"/>
      <c r="W138" s="83"/>
    </row>
    <row r="139" spans="2:23" x14ac:dyDescent="0.25">
      <c r="B139" s="83">
        <v>136</v>
      </c>
      <c r="C139" s="83">
        <v>1204</v>
      </c>
      <c r="D139" s="87"/>
      <c r="E139" s="87"/>
      <c r="F139" s="87"/>
      <c r="G139" s="87"/>
      <c r="H139" s="83"/>
      <c r="I139" s="83"/>
      <c r="J139" s="83"/>
      <c r="K139" s="83"/>
      <c r="L139" s="83"/>
      <c r="M139" s="83"/>
      <c r="N139" s="83"/>
      <c r="O139" s="83"/>
      <c r="P139" s="83"/>
      <c r="Q139" s="83"/>
      <c r="R139" s="83"/>
      <c r="S139" s="83"/>
      <c r="T139" s="83"/>
      <c r="U139" s="83"/>
      <c r="V139" s="83"/>
      <c r="W139" s="83"/>
    </row>
    <row r="140" spans="2:23" x14ac:dyDescent="0.25">
      <c r="B140" s="83">
        <v>137</v>
      </c>
      <c r="C140" s="83">
        <v>1205</v>
      </c>
      <c r="D140" s="87"/>
      <c r="E140" s="87"/>
      <c r="F140" s="87"/>
      <c r="G140" s="87"/>
      <c r="H140" s="83"/>
      <c r="I140" s="83"/>
      <c r="J140" s="83"/>
      <c r="K140" s="83"/>
      <c r="L140" s="83"/>
      <c r="M140" s="83"/>
      <c r="N140" s="83"/>
      <c r="O140" s="83"/>
      <c r="P140" s="83"/>
      <c r="Q140" s="83"/>
      <c r="R140" s="83"/>
      <c r="S140" s="83"/>
      <c r="T140" s="83"/>
      <c r="U140" s="83"/>
      <c r="V140" s="83"/>
      <c r="W140" s="83"/>
    </row>
    <row r="141" spans="2:23" x14ac:dyDescent="0.25">
      <c r="B141" s="83">
        <v>138</v>
      </c>
      <c r="C141" s="83">
        <v>1206</v>
      </c>
      <c r="D141" s="87"/>
      <c r="E141" s="87"/>
      <c r="F141" s="87"/>
      <c r="G141" s="87"/>
      <c r="H141" s="83"/>
      <c r="I141" s="83"/>
      <c r="J141" s="83"/>
      <c r="K141" s="83"/>
      <c r="L141" s="83"/>
      <c r="M141" s="83"/>
      <c r="N141" s="83"/>
      <c r="O141" s="83"/>
      <c r="P141" s="83"/>
      <c r="Q141" s="83"/>
      <c r="R141" s="83"/>
      <c r="S141" s="83"/>
      <c r="T141" s="83"/>
      <c r="U141" s="83"/>
      <c r="V141" s="83"/>
      <c r="W141" s="83"/>
    </row>
    <row r="142" spans="2:23" x14ac:dyDescent="0.25">
      <c r="B142" s="83">
        <v>139</v>
      </c>
      <c r="C142" s="83">
        <v>1207</v>
      </c>
      <c r="D142" s="87"/>
      <c r="E142" s="87"/>
      <c r="F142" s="87"/>
      <c r="G142" s="87"/>
      <c r="H142" s="83"/>
      <c r="I142" s="83"/>
      <c r="J142" s="83"/>
      <c r="K142" s="83"/>
      <c r="L142" s="83"/>
      <c r="M142" s="83"/>
      <c r="N142" s="83"/>
      <c r="O142" s="83"/>
      <c r="P142" s="83"/>
      <c r="Q142" s="83"/>
      <c r="R142" s="83"/>
      <c r="S142" s="83"/>
      <c r="T142" s="83"/>
      <c r="U142" s="83"/>
      <c r="V142" s="83"/>
      <c r="W142" s="83"/>
    </row>
    <row r="143" spans="2:23" x14ac:dyDescent="0.25">
      <c r="B143" s="83">
        <v>140</v>
      </c>
      <c r="C143" s="83">
        <v>1208</v>
      </c>
      <c r="D143" s="87"/>
      <c r="E143" s="87"/>
      <c r="F143" s="87"/>
      <c r="G143" s="87"/>
      <c r="H143" s="83"/>
      <c r="I143" s="83"/>
      <c r="J143" s="83"/>
      <c r="K143" s="83"/>
      <c r="L143" s="83"/>
      <c r="M143" s="83"/>
      <c r="N143" s="83"/>
      <c r="O143" s="83"/>
      <c r="P143" s="83"/>
      <c r="Q143" s="83"/>
      <c r="R143" s="83"/>
      <c r="S143" s="83"/>
      <c r="T143" s="83"/>
      <c r="U143" s="83"/>
      <c r="V143" s="83"/>
      <c r="W143" s="83"/>
    </row>
    <row r="144" spans="2:23" x14ac:dyDescent="0.25">
      <c r="B144" s="83">
        <v>141</v>
      </c>
      <c r="C144" s="83">
        <v>1209</v>
      </c>
      <c r="D144" s="87"/>
      <c r="E144" s="87"/>
      <c r="F144" s="87"/>
      <c r="G144" s="87"/>
      <c r="H144" s="83"/>
      <c r="I144" s="83"/>
      <c r="J144" s="83"/>
      <c r="K144" s="83"/>
      <c r="L144" s="83"/>
      <c r="M144" s="83"/>
      <c r="N144" s="83"/>
      <c r="O144" s="83"/>
      <c r="P144" s="83"/>
      <c r="Q144" s="83"/>
      <c r="R144" s="83"/>
      <c r="S144" s="83"/>
      <c r="T144" s="83"/>
      <c r="U144" s="83"/>
      <c r="V144" s="83"/>
      <c r="W144" s="83"/>
    </row>
    <row r="145" spans="2:23" x14ac:dyDescent="0.25">
      <c r="B145" s="83">
        <v>142</v>
      </c>
      <c r="C145" s="83">
        <v>1210</v>
      </c>
      <c r="D145" s="83"/>
      <c r="E145" s="83"/>
      <c r="F145" s="83"/>
      <c r="G145" s="83"/>
      <c r="H145" s="83"/>
      <c r="I145" s="83"/>
      <c r="J145" s="83"/>
      <c r="K145" s="83"/>
      <c r="L145" s="83"/>
      <c r="M145" s="83"/>
      <c r="N145" s="83"/>
      <c r="O145" s="83"/>
      <c r="P145" s="84"/>
      <c r="Q145" s="84"/>
      <c r="R145" s="84"/>
      <c r="S145" s="84"/>
      <c r="T145" s="83"/>
      <c r="U145" s="83"/>
      <c r="V145" s="83"/>
      <c r="W145" s="83"/>
    </row>
    <row r="146" spans="2:23" x14ac:dyDescent="0.25">
      <c r="B146" s="83">
        <v>143</v>
      </c>
      <c r="C146" s="83">
        <v>1211</v>
      </c>
      <c r="D146" s="83"/>
      <c r="E146" s="83"/>
      <c r="F146" s="83"/>
      <c r="G146" s="83"/>
      <c r="H146" s="83"/>
      <c r="I146" s="83"/>
      <c r="J146" s="83"/>
      <c r="K146" s="83"/>
      <c r="L146" s="83"/>
      <c r="M146" s="83"/>
      <c r="N146" s="83"/>
      <c r="O146" s="83"/>
      <c r="P146" s="83"/>
      <c r="Q146" s="83"/>
      <c r="R146" s="83"/>
      <c r="S146" s="83"/>
      <c r="T146" s="83"/>
      <c r="U146" s="83"/>
      <c r="V146" s="83"/>
      <c r="W146" s="83"/>
    </row>
    <row r="147" spans="2:23" x14ac:dyDescent="0.25">
      <c r="B147" s="83">
        <v>144</v>
      </c>
      <c r="C147" s="83">
        <v>1212</v>
      </c>
      <c r="D147" s="55"/>
      <c r="E147" s="55"/>
      <c r="F147" s="55"/>
      <c r="G147" s="83"/>
      <c r="H147" s="83"/>
      <c r="I147" s="83"/>
      <c r="J147" s="83"/>
      <c r="K147" s="83"/>
      <c r="L147" s="83"/>
      <c r="M147" s="83"/>
      <c r="N147" s="83"/>
      <c r="O147" s="83"/>
      <c r="P147" s="83"/>
      <c r="Q147" s="83"/>
      <c r="R147" s="83"/>
      <c r="S147" s="83"/>
      <c r="T147" s="83"/>
      <c r="U147" s="83"/>
      <c r="V147" s="83"/>
      <c r="W147" s="83"/>
    </row>
    <row r="148" spans="2:23" x14ac:dyDescent="0.25">
      <c r="B148" s="83">
        <v>145</v>
      </c>
      <c r="C148" s="83">
        <v>1301</v>
      </c>
      <c r="D148" s="83"/>
      <c r="E148" s="83"/>
      <c r="F148" s="83"/>
      <c r="G148" s="83"/>
      <c r="H148" s="83"/>
      <c r="I148" s="83"/>
      <c r="J148" s="83"/>
      <c r="K148" s="83"/>
      <c r="L148" s="83"/>
      <c r="M148" s="83"/>
      <c r="N148" s="83"/>
      <c r="O148" s="83"/>
      <c r="P148" s="83"/>
      <c r="Q148" s="83"/>
      <c r="R148" s="83"/>
      <c r="S148" s="83"/>
      <c r="T148" s="83"/>
      <c r="U148" s="83"/>
      <c r="V148" s="83"/>
      <c r="W148" s="83"/>
    </row>
    <row r="149" spans="2:23" x14ac:dyDescent="0.25">
      <c r="B149" s="83">
        <v>146</v>
      </c>
      <c r="C149" s="83">
        <v>1302</v>
      </c>
      <c r="D149" s="83"/>
      <c r="E149" s="83"/>
      <c r="F149" s="83"/>
      <c r="G149" s="83"/>
      <c r="H149" s="83"/>
      <c r="I149" s="83"/>
      <c r="J149" s="83"/>
      <c r="K149" s="83"/>
      <c r="L149" s="83"/>
      <c r="M149" s="83"/>
      <c r="N149" s="83"/>
      <c r="O149" s="83"/>
      <c r="P149" s="83"/>
      <c r="Q149" s="83"/>
      <c r="R149" s="83"/>
      <c r="S149" s="83"/>
      <c r="T149" s="83"/>
      <c r="U149" s="83"/>
      <c r="V149" s="83"/>
      <c r="W149" s="83"/>
    </row>
    <row r="150" spans="2:23" x14ac:dyDescent="0.25">
      <c r="B150" s="83">
        <v>147</v>
      </c>
      <c r="C150" s="83">
        <v>1303</v>
      </c>
      <c r="D150" s="83"/>
      <c r="E150" s="83"/>
      <c r="F150" s="83"/>
      <c r="G150" s="83"/>
      <c r="H150" s="83"/>
      <c r="I150" s="83"/>
      <c r="J150" s="83"/>
      <c r="K150" s="83"/>
      <c r="L150" s="83"/>
      <c r="M150" s="83"/>
      <c r="N150" s="83"/>
      <c r="O150" s="83"/>
      <c r="P150" s="83"/>
      <c r="Q150" s="83"/>
      <c r="R150" s="83"/>
      <c r="S150" s="83"/>
      <c r="T150" s="83"/>
      <c r="U150" s="83"/>
      <c r="V150" s="83"/>
      <c r="W150" s="83"/>
    </row>
    <row r="151" spans="2:23" x14ac:dyDescent="0.25">
      <c r="B151" s="83">
        <v>148</v>
      </c>
      <c r="C151" s="83">
        <v>1304</v>
      </c>
      <c r="D151" s="83"/>
      <c r="E151" s="83"/>
      <c r="F151" s="83"/>
      <c r="G151" s="83"/>
      <c r="H151" s="83"/>
      <c r="I151" s="83"/>
      <c r="J151" s="83"/>
      <c r="K151" s="83"/>
      <c r="L151" s="83"/>
      <c r="M151" s="83"/>
      <c r="N151" s="83"/>
      <c r="O151" s="83"/>
      <c r="P151" s="83"/>
      <c r="Q151" s="83"/>
      <c r="R151" s="83"/>
      <c r="S151" s="83"/>
      <c r="T151" s="83"/>
      <c r="U151" s="83"/>
      <c r="V151" s="83"/>
      <c r="W151" s="83"/>
    </row>
    <row r="152" spans="2:23" x14ac:dyDescent="0.25">
      <c r="B152" s="83">
        <v>149</v>
      </c>
      <c r="C152" s="83">
        <v>1305</v>
      </c>
      <c r="D152" s="83"/>
      <c r="E152" s="83"/>
      <c r="F152" s="83"/>
      <c r="G152" s="83"/>
      <c r="H152" s="83"/>
      <c r="I152" s="83"/>
      <c r="J152" s="83"/>
      <c r="K152" s="83"/>
      <c r="L152" s="83"/>
      <c r="M152" s="83"/>
      <c r="N152" s="83"/>
      <c r="O152" s="83"/>
      <c r="P152" s="83"/>
      <c r="Q152" s="83"/>
      <c r="R152" s="83"/>
      <c r="S152" s="83"/>
      <c r="T152" s="83"/>
      <c r="U152" s="83"/>
      <c r="V152" s="83"/>
      <c r="W152" s="83"/>
    </row>
    <row r="153" spans="2:23" x14ac:dyDescent="0.25">
      <c r="B153" s="83">
        <v>150</v>
      </c>
      <c r="C153" s="83">
        <v>1306</v>
      </c>
      <c r="D153" s="83"/>
      <c r="E153" s="83"/>
      <c r="F153" s="83"/>
      <c r="G153" s="83"/>
      <c r="H153" s="83"/>
      <c r="I153" s="83"/>
      <c r="J153" s="83"/>
      <c r="K153" s="83"/>
      <c r="L153" s="83"/>
      <c r="M153" s="83"/>
      <c r="N153" s="83"/>
      <c r="O153" s="83"/>
      <c r="P153" s="83"/>
      <c r="Q153" s="83"/>
      <c r="R153" s="83"/>
      <c r="S153" s="83"/>
      <c r="T153" s="83"/>
      <c r="U153" s="83"/>
      <c r="V153" s="83"/>
      <c r="W153" s="83"/>
    </row>
    <row r="154" spans="2:23" x14ac:dyDescent="0.25">
      <c r="B154" s="83">
        <v>151</v>
      </c>
      <c r="C154" s="83">
        <v>1307</v>
      </c>
      <c r="D154" s="83"/>
      <c r="E154" s="83"/>
      <c r="F154" s="83"/>
      <c r="G154" s="83"/>
      <c r="H154" s="83"/>
      <c r="I154" s="83"/>
      <c r="J154" s="83"/>
      <c r="K154" s="83"/>
      <c r="L154" s="83"/>
      <c r="M154" s="83"/>
      <c r="N154" s="83"/>
      <c r="O154" s="83"/>
      <c r="P154" s="83"/>
      <c r="Q154" s="83"/>
      <c r="R154" s="83"/>
      <c r="S154" s="83"/>
      <c r="T154" s="83"/>
      <c r="U154" s="83"/>
      <c r="V154" s="83"/>
      <c r="W154" s="83"/>
    </row>
    <row r="155" spans="2:23" x14ac:dyDescent="0.25">
      <c r="B155" s="83">
        <v>152</v>
      </c>
      <c r="C155" s="83">
        <v>1308</v>
      </c>
      <c r="D155" s="83"/>
      <c r="E155" s="83"/>
      <c r="F155" s="83"/>
      <c r="G155" s="83"/>
      <c r="H155" s="83"/>
      <c r="I155" s="83"/>
      <c r="J155" s="83"/>
      <c r="K155" s="83"/>
      <c r="L155" s="83"/>
      <c r="M155" s="83"/>
      <c r="N155" s="83"/>
      <c r="O155" s="83"/>
      <c r="P155" s="83"/>
      <c r="Q155" s="83"/>
      <c r="R155" s="83"/>
      <c r="S155" s="83"/>
      <c r="T155" s="83"/>
      <c r="U155" s="83"/>
      <c r="V155" s="83"/>
      <c r="W155" s="83"/>
    </row>
    <row r="156" spans="2:23" x14ac:dyDescent="0.25">
      <c r="B156" s="83">
        <v>153</v>
      </c>
      <c r="C156" s="83">
        <v>1309</v>
      </c>
      <c r="D156" s="83"/>
      <c r="E156" s="83"/>
      <c r="F156" s="83"/>
      <c r="G156" s="83"/>
      <c r="H156" s="83"/>
      <c r="I156" s="83"/>
      <c r="J156" s="83"/>
      <c r="K156" s="83"/>
      <c r="L156" s="83"/>
      <c r="M156" s="83"/>
      <c r="N156" s="83"/>
      <c r="O156" s="83"/>
      <c r="P156" s="83"/>
      <c r="Q156" s="83"/>
      <c r="R156" s="83"/>
      <c r="S156" s="83"/>
      <c r="T156" s="83"/>
      <c r="U156" s="83"/>
      <c r="V156" s="83"/>
      <c r="W156" s="83"/>
    </row>
    <row r="157" spans="2:23" x14ac:dyDescent="0.25">
      <c r="B157" s="83">
        <v>154</v>
      </c>
      <c r="C157" s="83">
        <v>1310</v>
      </c>
      <c r="D157" s="83"/>
      <c r="E157" s="83"/>
      <c r="F157" s="83"/>
      <c r="G157" s="83"/>
      <c r="H157" s="83"/>
      <c r="I157" s="83"/>
      <c r="J157" s="83"/>
      <c r="K157" s="83"/>
      <c r="L157" s="83"/>
      <c r="M157" s="83"/>
      <c r="N157" s="83"/>
      <c r="O157" s="83"/>
      <c r="P157" s="83"/>
      <c r="Q157" s="83"/>
      <c r="R157" s="83"/>
      <c r="S157" s="83"/>
      <c r="T157" s="83"/>
      <c r="U157" s="83"/>
      <c r="V157" s="83"/>
      <c r="W157" s="83"/>
    </row>
    <row r="158" spans="2:23" x14ac:dyDescent="0.25">
      <c r="B158" s="83">
        <v>155</v>
      </c>
      <c r="C158" s="83">
        <v>1311</v>
      </c>
      <c r="D158" s="83"/>
      <c r="E158" s="83"/>
      <c r="F158" s="83"/>
      <c r="G158" s="83"/>
      <c r="H158" s="83"/>
      <c r="I158" s="83"/>
      <c r="J158" s="83"/>
      <c r="K158" s="83"/>
      <c r="L158" s="83"/>
      <c r="M158" s="83"/>
      <c r="N158" s="83"/>
      <c r="O158" s="83"/>
      <c r="P158" s="83"/>
      <c r="Q158" s="83"/>
      <c r="R158" s="83"/>
      <c r="S158" s="83"/>
      <c r="T158" s="83"/>
      <c r="U158" s="83"/>
      <c r="V158" s="83"/>
      <c r="W158" s="83"/>
    </row>
    <row r="159" spans="2:23" x14ac:dyDescent="0.25">
      <c r="B159" s="83">
        <v>156</v>
      </c>
      <c r="C159" s="83">
        <v>1312</v>
      </c>
      <c r="D159" s="83"/>
      <c r="E159" s="83"/>
      <c r="F159" s="83"/>
      <c r="G159" s="83"/>
      <c r="H159" s="83"/>
      <c r="I159" s="83"/>
      <c r="J159" s="83"/>
      <c r="K159" s="83"/>
      <c r="L159" s="83"/>
      <c r="M159" s="83"/>
      <c r="N159" s="83"/>
      <c r="O159" s="83"/>
      <c r="P159" s="83"/>
      <c r="Q159" s="83"/>
      <c r="R159" s="83"/>
      <c r="S159" s="83"/>
      <c r="T159" s="83"/>
      <c r="U159" s="83"/>
      <c r="V159" s="83"/>
      <c r="W159" s="83"/>
    </row>
    <row r="160" spans="2:23" x14ac:dyDescent="0.25">
      <c r="B160" s="83">
        <v>157</v>
      </c>
      <c r="C160" s="83">
        <v>1401</v>
      </c>
      <c r="D160" s="83"/>
      <c r="E160" s="83"/>
      <c r="F160" s="83"/>
      <c r="G160" s="83"/>
      <c r="H160" s="83"/>
      <c r="I160" s="83"/>
      <c r="J160" s="83"/>
      <c r="K160" s="83"/>
      <c r="L160" s="83"/>
      <c r="M160" s="83"/>
      <c r="N160" s="83"/>
      <c r="O160" s="83"/>
      <c r="P160" s="83"/>
      <c r="Q160" s="83"/>
      <c r="R160" s="83"/>
      <c r="S160" s="83"/>
      <c r="T160" s="83"/>
      <c r="U160" s="83"/>
      <c r="V160" s="83"/>
      <c r="W160" s="83"/>
    </row>
    <row r="161" spans="2:23" x14ac:dyDescent="0.25">
      <c r="B161" s="83">
        <v>158</v>
      </c>
      <c r="C161" s="83">
        <v>1402</v>
      </c>
      <c r="D161" s="83"/>
      <c r="E161" s="83"/>
      <c r="F161" s="83"/>
      <c r="G161" s="83"/>
      <c r="H161" s="83"/>
      <c r="I161" s="83"/>
      <c r="J161" s="83"/>
      <c r="K161" s="83"/>
      <c r="L161" s="83"/>
      <c r="M161" s="83"/>
      <c r="N161" s="83"/>
      <c r="O161" s="83"/>
      <c r="P161" s="83"/>
      <c r="Q161" s="83"/>
      <c r="R161" s="83"/>
      <c r="S161" s="83"/>
      <c r="T161" s="83"/>
      <c r="U161" s="83"/>
      <c r="V161" s="83"/>
      <c r="W161" s="83"/>
    </row>
    <row r="162" spans="2:23" x14ac:dyDescent="0.25">
      <c r="B162" s="83">
        <v>159</v>
      </c>
      <c r="C162" s="83">
        <v>1403</v>
      </c>
      <c r="D162" s="83"/>
      <c r="E162" s="83"/>
      <c r="F162" s="83"/>
      <c r="G162" s="83"/>
      <c r="H162" s="83"/>
      <c r="I162" s="83"/>
      <c r="J162" s="83"/>
      <c r="K162" s="83"/>
      <c r="L162" s="83"/>
      <c r="M162" s="83"/>
      <c r="N162" s="83"/>
      <c r="O162" s="83"/>
      <c r="P162" s="83"/>
      <c r="Q162" s="83"/>
      <c r="R162" s="83"/>
      <c r="S162" s="83"/>
      <c r="T162" s="83"/>
      <c r="U162" s="83"/>
      <c r="V162" s="83"/>
      <c r="W162" s="83"/>
    </row>
    <row r="163" spans="2:23" x14ac:dyDescent="0.25">
      <c r="B163" s="83">
        <v>160</v>
      </c>
      <c r="C163" s="83">
        <v>1404</v>
      </c>
      <c r="D163" s="83"/>
      <c r="E163" s="83"/>
      <c r="F163" s="83"/>
      <c r="G163" s="83"/>
      <c r="H163" s="83"/>
      <c r="I163" s="83"/>
      <c r="J163" s="83"/>
      <c r="K163" s="83"/>
      <c r="L163" s="83"/>
      <c r="M163" s="83"/>
      <c r="N163" s="83"/>
      <c r="O163" s="83"/>
      <c r="P163" s="83"/>
      <c r="Q163" s="83"/>
      <c r="R163" s="83"/>
      <c r="S163" s="83"/>
      <c r="T163" s="83"/>
      <c r="U163" s="83"/>
      <c r="V163" s="83"/>
      <c r="W163" s="83"/>
    </row>
    <row r="164" spans="2:23" x14ac:dyDescent="0.25">
      <c r="B164" s="83">
        <v>161</v>
      </c>
      <c r="C164" s="83">
        <v>1405</v>
      </c>
      <c r="D164" s="83"/>
      <c r="E164" s="83"/>
      <c r="F164" s="83"/>
      <c r="G164" s="83"/>
      <c r="H164" s="83"/>
      <c r="I164" s="83"/>
      <c r="J164" s="83"/>
      <c r="K164" s="83"/>
      <c r="L164" s="83"/>
      <c r="M164" s="83"/>
      <c r="N164" s="83"/>
      <c r="O164" s="83"/>
      <c r="P164" s="83"/>
      <c r="Q164" s="83"/>
      <c r="R164" s="83"/>
      <c r="S164" s="83"/>
      <c r="T164" s="83"/>
      <c r="U164" s="83"/>
      <c r="V164" s="83"/>
      <c r="W164" s="83"/>
    </row>
    <row r="165" spans="2:23" x14ac:dyDescent="0.25">
      <c r="B165" s="83">
        <v>162</v>
      </c>
      <c r="C165" s="83">
        <v>1406</v>
      </c>
      <c r="D165" s="83"/>
      <c r="E165" s="83"/>
      <c r="F165" s="83"/>
      <c r="G165" s="83"/>
      <c r="H165" s="83"/>
      <c r="I165" s="83"/>
      <c r="J165" s="83"/>
      <c r="K165" s="83"/>
      <c r="L165" s="83"/>
      <c r="M165" s="83"/>
      <c r="N165" s="83"/>
      <c r="O165" s="83"/>
      <c r="P165" s="83"/>
      <c r="Q165" s="83"/>
      <c r="R165" s="83"/>
      <c r="S165" s="83"/>
      <c r="T165" s="83"/>
      <c r="U165" s="83"/>
      <c r="V165" s="83"/>
      <c r="W165" s="83"/>
    </row>
    <row r="166" spans="2:23" x14ac:dyDescent="0.25">
      <c r="B166" s="83">
        <v>163</v>
      </c>
      <c r="C166" s="83">
        <v>1407</v>
      </c>
      <c r="D166" s="83"/>
      <c r="E166" s="83"/>
      <c r="F166" s="83"/>
      <c r="G166" s="83"/>
      <c r="H166" s="83"/>
      <c r="I166" s="83"/>
      <c r="J166" s="83"/>
      <c r="K166" s="83"/>
      <c r="L166" s="83"/>
      <c r="M166" s="83"/>
      <c r="N166" s="83"/>
      <c r="O166" s="83"/>
      <c r="P166" s="83"/>
      <c r="Q166" s="83"/>
      <c r="R166" s="83"/>
      <c r="S166" s="83"/>
      <c r="T166" s="83"/>
      <c r="U166" s="83"/>
      <c r="V166" s="83"/>
      <c r="W166" s="83"/>
    </row>
    <row r="167" spans="2:23" x14ac:dyDescent="0.25">
      <c r="B167" s="83">
        <v>164</v>
      </c>
      <c r="C167" s="83">
        <v>1408</v>
      </c>
      <c r="D167" s="83"/>
      <c r="E167" s="83"/>
      <c r="F167" s="83"/>
      <c r="G167" s="83"/>
      <c r="H167" s="83"/>
      <c r="I167" s="83"/>
      <c r="J167" s="83"/>
      <c r="K167" s="83"/>
      <c r="L167" s="83"/>
      <c r="M167" s="83"/>
      <c r="N167" s="83"/>
      <c r="O167" s="83"/>
      <c r="P167" s="83"/>
      <c r="Q167" s="83"/>
      <c r="R167" s="83"/>
      <c r="S167" s="83"/>
      <c r="T167" s="83"/>
      <c r="U167" s="83"/>
      <c r="V167" s="83"/>
      <c r="W167" s="83"/>
    </row>
    <row r="168" spans="2:23" x14ac:dyDescent="0.25">
      <c r="B168" s="83">
        <v>165</v>
      </c>
      <c r="C168" s="83">
        <v>1409</v>
      </c>
      <c r="D168" s="83"/>
      <c r="E168" s="83"/>
      <c r="F168" s="83"/>
      <c r="G168" s="83"/>
      <c r="H168" s="83"/>
      <c r="I168" s="83"/>
      <c r="J168" s="83"/>
      <c r="K168" s="83"/>
      <c r="L168" s="83"/>
      <c r="M168" s="83"/>
      <c r="N168" s="83"/>
      <c r="O168" s="83"/>
      <c r="P168" s="83"/>
      <c r="Q168" s="83"/>
      <c r="R168" s="83"/>
      <c r="S168" s="83"/>
      <c r="T168" s="83"/>
      <c r="U168" s="83"/>
      <c r="V168" s="83"/>
      <c r="W168" s="83"/>
    </row>
    <row r="169" spans="2:23" x14ac:dyDescent="0.25">
      <c r="B169" s="83">
        <v>166</v>
      </c>
      <c r="C169" s="83">
        <v>1410</v>
      </c>
      <c r="D169" s="83"/>
      <c r="E169" s="83"/>
      <c r="F169" s="83"/>
      <c r="G169" s="83"/>
      <c r="H169" s="83"/>
      <c r="I169" s="83"/>
      <c r="J169" s="83"/>
      <c r="K169" s="83"/>
      <c r="L169" s="83"/>
      <c r="M169" s="83"/>
      <c r="N169" s="83"/>
      <c r="O169" s="83"/>
      <c r="P169" s="83"/>
      <c r="Q169" s="83"/>
      <c r="R169" s="83"/>
      <c r="S169" s="83"/>
      <c r="T169" s="83"/>
      <c r="U169" s="83"/>
      <c r="V169" s="83"/>
      <c r="W169" s="83"/>
    </row>
    <row r="170" spans="2:23" x14ac:dyDescent="0.25">
      <c r="B170" s="83">
        <v>167</v>
      </c>
      <c r="C170" s="83">
        <v>1411</v>
      </c>
      <c r="D170" s="83"/>
      <c r="E170" s="83"/>
      <c r="F170" s="83"/>
      <c r="G170" s="83"/>
      <c r="H170" s="83"/>
      <c r="I170" s="83"/>
      <c r="J170" s="83"/>
      <c r="K170" s="83"/>
      <c r="L170" s="83"/>
      <c r="M170" s="83"/>
      <c r="N170" s="83"/>
      <c r="O170" s="83"/>
      <c r="P170" s="83"/>
      <c r="Q170" s="83"/>
      <c r="R170" s="83"/>
      <c r="S170" s="83"/>
      <c r="T170" s="83"/>
      <c r="U170" s="83"/>
      <c r="V170" s="83"/>
      <c r="W170" s="83"/>
    </row>
    <row r="171" spans="2:23" x14ac:dyDescent="0.25">
      <c r="B171" s="83">
        <v>168</v>
      </c>
      <c r="C171" s="83">
        <v>1412</v>
      </c>
      <c r="D171" s="83"/>
      <c r="E171" s="83"/>
      <c r="F171" s="83"/>
      <c r="G171" s="83"/>
      <c r="H171" s="83"/>
      <c r="I171" s="83"/>
      <c r="J171" s="83"/>
      <c r="K171" s="83"/>
      <c r="L171" s="83"/>
      <c r="M171" s="83"/>
      <c r="N171" s="83"/>
      <c r="O171" s="83"/>
      <c r="P171" s="83"/>
      <c r="Q171" s="83"/>
      <c r="R171" s="83"/>
      <c r="S171" s="83"/>
      <c r="T171" s="83"/>
      <c r="U171" s="83"/>
      <c r="V171" s="83"/>
      <c r="W171" s="83"/>
    </row>
    <row r="172" spans="2:23" x14ac:dyDescent="0.25">
      <c r="B172" s="83">
        <v>169</v>
      </c>
      <c r="C172" s="83">
        <v>1501</v>
      </c>
      <c r="D172" s="83"/>
      <c r="E172" s="83"/>
      <c r="F172" s="83"/>
      <c r="G172" s="83"/>
      <c r="H172" s="83"/>
      <c r="I172" s="83"/>
      <c r="J172" s="83"/>
      <c r="K172" s="83"/>
      <c r="L172" s="83"/>
      <c r="M172" s="83"/>
      <c r="N172" s="83"/>
      <c r="O172" s="83"/>
      <c r="P172" s="83"/>
      <c r="Q172" s="83"/>
      <c r="R172" s="83"/>
      <c r="S172" s="83"/>
      <c r="T172" s="83"/>
      <c r="U172" s="83"/>
      <c r="V172" s="83"/>
      <c r="W172" s="83"/>
    </row>
    <row r="173" spans="2:23" x14ac:dyDescent="0.25">
      <c r="B173" s="83">
        <v>170</v>
      </c>
      <c r="C173" s="83">
        <v>1502</v>
      </c>
      <c r="D173" s="83"/>
      <c r="E173" s="83"/>
      <c r="F173" s="83"/>
      <c r="G173" s="83"/>
      <c r="H173" s="83"/>
      <c r="I173" s="83"/>
      <c r="J173" s="83"/>
      <c r="K173" s="83"/>
      <c r="L173" s="83"/>
      <c r="M173" s="83"/>
      <c r="N173" s="83"/>
      <c r="O173" s="83"/>
      <c r="P173" s="83"/>
      <c r="Q173" s="83"/>
      <c r="R173" s="83"/>
      <c r="S173" s="83"/>
      <c r="T173" s="83"/>
      <c r="U173" s="83"/>
      <c r="V173" s="83"/>
      <c r="W173" s="83"/>
    </row>
    <row r="174" spans="2:23" x14ac:dyDescent="0.25">
      <c r="B174" s="83">
        <v>171</v>
      </c>
      <c r="C174" s="83">
        <v>1503</v>
      </c>
      <c r="D174" s="83"/>
      <c r="E174" s="83"/>
      <c r="F174" s="83"/>
      <c r="G174" s="83"/>
      <c r="H174" s="83"/>
      <c r="I174" s="83"/>
      <c r="J174" s="83"/>
      <c r="K174" s="83"/>
      <c r="L174" s="83"/>
      <c r="M174" s="83"/>
      <c r="N174" s="83"/>
      <c r="O174" s="83"/>
      <c r="P174" s="83"/>
      <c r="Q174" s="83"/>
      <c r="R174" s="83"/>
      <c r="S174" s="83"/>
      <c r="T174" s="83"/>
      <c r="U174" s="83"/>
      <c r="V174" s="83"/>
      <c r="W174" s="83"/>
    </row>
    <row r="175" spans="2:23" x14ac:dyDescent="0.25">
      <c r="B175" s="83">
        <v>172</v>
      </c>
      <c r="C175" s="83">
        <v>1504</v>
      </c>
      <c r="D175" s="83"/>
      <c r="E175" s="83"/>
      <c r="F175" s="83"/>
      <c r="G175" s="83"/>
      <c r="H175" s="83"/>
      <c r="I175" s="83"/>
      <c r="J175" s="83"/>
      <c r="K175" s="83"/>
      <c r="L175" s="83"/>
      <c r="M175" s="83"/>
      <c r="N175" s="83"/>
      <c r="O175" s="83"/>
      <c r="P175" s="83"/>
      <c r="Q175" s="83"/>
      <c r="R175" s="83"/>
      <c r="S175" s="83"/>
      <c r="T175" s="83"/>
      <c r="U175" s="83"/>
      <c r="V175" s="83"/>
      <c r="W175" s="83"/>
    </row>
    <row r="176" spans="2:23" x14ac:dyDescent="0.25">
      <c r="B176" s="83">
        <v>173</v>
      </c>
      <c r="C176" s="83">
        <v>1505</v>
      </c>
      <c r="D176" s="83"/>
      <c r="E176" s="83"/>
      <c r="F176" s="83"/>
      <c r="G176" s="83"/>
      <c r="H176" s="83"/>
      <c r="I176" s="83"/>
      <c r="J176" s="83"/>
      <c r="K176" s="83"/>
      <c r="L176" s="83"/>
      <c r="M176" s="83"/>
      <c r="N176" s="83"/>
      <c r="O176" s="83"/>
      <c r="P176" s="83"/>
      <c r="Q176" s="83"/>
      <c r="R176" s="83"/>
      <c r="S176" s="83"/>
      <c r="T176" s="83"/>
      <c r="U176" s="83"/>
      <c r="V176" s="83"/>
      <c r="W176" s="83"/>
    </row>
    <row r="177" spans="2:23" x14ac:dyDescent="0.25">
      <c r="B177" s="83">
        <v>174</v>
      </c>
      <c r="C177" s="83">
        <v>1506</v>
      </c>
      <c r="D177" s="83"/>
      <c r="E177" s="83"/>
      <c r="F177" s="83"/>
      <c r="G177" s="83"/>
      <c r="H177" s="83"/>
      <c r="I177" s="83"/>
      <c r="J177" s="83"/>
      <c r="K177" s="83"/>
      <c r="L177" s="83"/>
      <c r="M177" s="83"/>
      <c r="N177" s="83"/>
      <c r="O177" s="83"/>
      <c r="P177" s="83"/>
      <c r="Q177" s="83"/>
      <c r="R177" s="83"/>
      <c r="S177" s="83"/>
      <c r="T177" s="83"/>
      <c r="U177" s="83"/>
      <c r="V177" s="83"/>
      <c r="W177" s="83"/>
    </row>
    <row r="178" spans="2:23" x14ac:dyDescent="0.25">
      <c r="B178" s="83">
        <v>175</v>
      </c>
      <c r="C178" s="83">
        <v>1507</v>
      </c>
      <c r="D178" s="83"/>
      <c r="E178" s="83"/>
      <c r="F178" s="83"/>
      <c r="G178" s="83"/>
      <c r="H178" s="83"/>
      <c r="I178" s="83"/>
      <c r="J178" s="83"/>
      <c r="K178" s="83"/>
      <c r="L178" s="83"/>
      <c r="M178" s="83"/>
      <c r="N178" s="83"/>
      <c r="O178" s="83"/>
      <c r="P178" s="83"/>
      <c r="Q178" s="83"/>
      <c r="R178" s="83"/>
      <c r="S178" s="83"/>
      <c r="T178" s="83"/>
      <c r="U178" s="83"/>
      <c r="V178" s="83"/>
      <c r="W178" s="83"/>
    </row>
    <row r="179" spans="2:23" x14ac:dyDescent="0.25">
      <c r="B179" s="83">
        <v>176</v>
      </c>
      <c r="C179" s="83">
        <v>1508</v>
      </c>
      <c r="D179" s="83"/>
      <c r="E179" s="83"/>
      <c r="F179" s="83"/>
      <c r="G179" s="83"/>
      <c r="H179" s="83"/>
      <c r="I179" s="83"/>
      <c r="J179" s="83"/>
      <c r="K179" s="83"/>
      <c r="L179" s="83"/>
      <c r="M179" s="83"/>
      <c r="N179" s="83"/>
      <c r="O179" s="83"/>
      <c r="P179" s="83"/>
      <c r="Q179" s="83"/>
      <c r="R179" s="83"/>
      <c r="S179" s="83"/>
      <c r="T179" s="83"/>
      <c r="U179" s="83"/>
      <c r="V179" s="83"/>
      <c r="W179" s="83"/>
    </row>
    <row r="180" spans="2:23" x14ac:dyDescent="0.25">
      <c r="B180" s="83">
        <v>177</v>
      </c>
      <c r="C180" s="83">
        <v>1509</v>
      </c>
      <c r="D180" s="83"/>
      <c r="E180" s="83"/>
      <c r="F180" s="83"/>
      <c r="G180" s="83"/>
      <c r="H180" s="83"/>
      <c r="I180" s="83"/>
      <c r="J180" s="83"/>
      <c r="K180" s="83"/>
      <c r="L180" s="83"/>
      <c r="M180" s="83"/>
      <c r="N180" s="83"/>
      <c r="O180" s="83"/>
      <c r="P180" s="83"/>
      <c r="Q180" s="83"/>
      <c r="R180" s="83"/>
      <c r="S180" s="83"/>
      <c r="T180" s="83"/>
      <c r="U180" s="83"/>
      <c r="V180" s="83"/>
      <c r="W180" s="83"/>
    </row>
    <row r="181" spans="2:23" x14ac:dyDescent="0.25">
      <c r="B181" s="83">
        <v>178</v>
      </c>
      <c r="C181" s="83">
        <v>1510</v>
      </c>
      <c r="D181" s="83"/>
      <c r="E181" s="83"/>
      <c r="F181" s="83"/>
      <c r="G181" s="83"/>
      <c r="H181" s="83"/>
      <c r="I181" s="83"/>
      <c r="J181" s="83"/>
      <c r="K181" s="83"/>
      <c r="L181" s="83"/>
      <c r="M181" s="83"/>
      <c r="N181" s="83"/>
      <c r="O181" s="83"/>
      <c r="P181" s="83"/>
      <c r="Q181" s="83"/>
      <c r="R181" s="83"/>
      <c r="S181" s="83"/>
      <c r="T181" s="83"/>
      <c r="U181" s="83"/>
      <c r="V181" s="83"/>
      <c r="W181" s="83"/>
    </row>
    <row r="182" spans="2:23" x14ac:dyDescent="0.25">
      <c r="B182" s="83">
        <v>179</v>
      </c>
      <c r="C182" s="83">
        <v>1511</v>
      </c>
      <c r="D182" s="83"/>
      <c r="E182" s="83"/>
      <c r="F182" s="83"/>
      <c r="G182" s="83"/>
      <c r="H182" s="83"/>
      <c r="I182" s="83"/>
      <c r="J182" s="83"/>
      <c r="K182" s="83"/>
      <c r="L182" s="83"/>
      <c r="M182" s="83"/>
      <c r="N182" s="83"/>
      <c r="O182" s="83"/>
      <c r="P182" s="83"/>
      <c r="Q182" s="83"/>
      <c r="R182" s="83"/>
      <c r="S182" s="83"/>
      <c r="T182" s="83"/>
      <c r="U182" s="83"/>
      <c r="V182" s="83"/>
      <c r="W182" s="83"/>
    </row>
    <row r="183" spans="2:23" x14ac:dyDescent="0.25">
      <c r="B183" s="83">
        <v>180</v>
      </c>
      <c r="C183" s="83">
        <v>1512</v>
      </c>
      <c r="D183" s="83"/>
      <c r="E183" s="83"/>
      <c r="F183" s="83"/>
      <c r="G183" s="83"/>
      <c r="H183" s="83"/>
      <c r="I183" s="83"/>
      <c r="J183" s="83"/>
      <c r="K183" s="83"/>
      <c r="L183" s="83"/>
      <c r="M183" s="83"/>
      <c r="N183" s="83"/>
      <c r="O183" s="83"/>
      <c r="P183" s="83"/>
      <c r="Q183" s="83"/>
      <c r="R183" s="83"/>
      <c r="S183" s="83"/>
      <c r="T183" s="83"/>
      <c r="U183" s="83"/>
      <c r="V183" s="83"/>
      <c r="W183" s="83"/>
    </row>
    <row r="184" spans="2:23" x14ac:dyDescent="0.25">
      <c r="B184" s="83">
        <v>181</v>
      </c>
      <c r="C184" s="83">
        <v>1601</v>
      </c>
      <c r="D184" s="83"/>
      <c r="E184" s="83"/>
      <c r="F184" s="83"/>
      <c r="G184" s="83"/>
      <c r="H184" s="83"/>
      <c r="I184" s="83"/>
      <c r="J184" s="83"/>
      <c r="K184" s="83"/>
      <c r="L184" s="83"/>
      <c r="M184" s="83"/>
      <c r="N184" s="83"/>
      <c r="O184" s="83"/>
      <c r="P184" s="83"/>
      <c r="Q184" s="83"/>
      <c r="R184" s="83"/>
      <c r="S184" s="83"/>
      <c r="T184" s="83"/>
      <c r="U184" s="83"/>
      <c r="V184" s="83"/>
      <c r="W184" s="83"/>
    </row>
    <row r="185" spans="2:23" x14ac:dyDescent="0.25">
      <c r="B185" s="83">
        <v>182</v>
      </c>
      <c r="C185" s="83">
        <v>1602</v>
      </c>
      <c r="D185" s="83"/>
      <c r="E185" s="83"/>
      <c r="F185" s="83"/>
      <c r="G185" s="83"/>
      <c r="H185" s="83"/>
      <c r="I185" s="83"/>
      <c r="J185" s="83"/>
      <c r="K185" s="83"/>
      <c r="L185" s="83"/>
      <c r="M185" s="83"/>
      <c r="N185" s="83"/>
      <c r="O185" s="83"/>
      <c r="P185" s="83"/>
      <c r="Q185" s="83"/>
      <c r="R185" s="83"/>
      <c r="S185" s="83"/>
      <c r="T185" s="83"/>
      <c r="U185" s="83"/>
      <c r="V185" s="83"/>
      <c r="W185" s="83"/>
    </row>
    <row r="186" spans="2:23" x14ac:dyDescent="0.25">
      <c r="B186" s="83">
        <v>183</v>
      </c>
      <c r="C186" s="83">
        <v>1603</v>
      </c>
      <c r="D186" s="83"/>
      <c r="E186" s="83"/>
      <c r="F186" s="83"/>
      <c r="G186" s="83"/>
      <c r="H186" s="83"/>
      <c r="I186" s="83"/>
      <c r="J186" s="83"/>
      <c r="K186" s="83"/>
      <c r="L186" s="83"/>
      <c r="M186" s="83"/>
      <c r="N186" s="83"/>
      <c r="O186" s="83"/>
      <c r="P186" s="83"/>
      <c r="Q186" s="83"/>
      <c r="R186" s="83"/>
      <c r="S186" s="83"/>
      <c r="T186" s="83"/>
      <c r="U186" s="83"/>
      <c r="V186" s="83"/>
      <c r="W186" s="83"/>
    </row>
    <row r="187" spans="2:23" x14ac:dyDescent="0.25">
      <c r="B187" s="83">
        <v>184</v>
      </c>
      <c r="C187" s="83">
        <v>1604</v>
      </c>
      <c r="D187" s="83"/>
      <c r="E187" s="83"/>
      <c r="F187" s="83"/>
      <c r="G187" s="83"/>
      <c r="H187" s="83"/>
      <c r="I187" s="83"/>
      <c r="J187" s="83"/>
      <c r="K187" s="83"/>
      <c r="L187" s="83"/>
      <c r="M187" s="83"/>
      <c r="N187" s="83"/>
      <c r="O187" s="83"/>
      <c r="P187" s="83"/>
      <c r="Q187" s="83"/>
      <c r="R187" s="83"/>
      <c r="S187" s="83"/>
      <c r="T187" s="83"/>
      <c r="U187" s="83"/>
      <c r="V187" s="83"/>
      <c r="W187" s="83"/>
    </row>
    <row r="188" spans="2:23" x14ac:dyDescent="0.25">
      <c r="B188" s="83">
        <v>185</v>
      </c>
      <c r="C188" s="83">
        <v>1605</v>
      </c>
      <c r="D188" s="83"/>
      <c r="E188" s="83"/>
      <c r="F188" s="83"/>
      <c r="G188" s="83"/>
      <c r="H188" s="83"/>
      <c r="I188" s="83"/>
      <c r="J188" s="83"/>
      <c r="K188" s="83"/>
      <c r="L188" s="83"/>
      <c r="M188" s="83"/>
      <c r="N188" s="83"/>
      <c r="O188" s="83"/>
      <c r="P188" s="83"/>
      <c r="Q188" s="83"/>
      <c r="R188" s="83"/>
      <c r="S188" s="83"/>
      <c r="T188" s="83"/>
      <c r="U188" s="83"/>
      <c r="V188" s="83"/>
      <c r="W188" s="83"/>
    </row>
    <row r="189" spans="2:23" x14ac:dyDescent="0.25">
      <c r="B189" s="83">
        <v>186</v>
      </c>
      <c r="C189" s="83">
        <v>1606</v>
      </c>
      <c r="D189" s="83"/>
      <c r="E189" s="83"/>
      <c r="F189" s="83"/>
      <c r="G189" s="83"/>
      <c r="H189" s="83"/>
      <c r="I189" s="83"/>
      <c r="J189" s="83"/>
      <c r="K189" s="83"/>
      <c r="L189" s="83"/>
      <c r="M189" s="83"/>
      <c r="N189" s="83"/>
      <c r="O189" s="83"/>
      <c r="P189" s="83"/>
      <c r="Q189" s="83"/>
      <c r="R189" s="83"/>
      <c r="S189" s="83"/>
      <c r="T189" s="83"/>
      <c r="U189" s="83"/>
      <c r="V189" s="83"/>
      <c r="W189" s="83"/>
    </row>
    <row r="190" spans="2:23" x14ac:dyDescent="0.25">
      <c r="B190" s="83">
        <v>187</v>
      </c>
      <c r="C190" s="83">
        <v>1607</v>
      </c>
      <c r="D190" s="83"/>
      <c r="E190" s="83"/>
      <c r="F190" s="83"/>
      <c r="G190" s="83"/>
      <c r="H190" s="83"/>
      <c r="I190" s="83"/>
      <c r="J190" s="83"/>
      <c r="K190" s="83"/>
      <c r="L190" s="83"/>
      <c r="M190" s="83"/>
      <c r="N190" s="83"/>
      <c r="O190" s="83"/>
      <c r="P190" s="83"/>
      <c r="Q190" s="83"/>
      <c r="R190" s="83"/>
      <c r="S190" s="83"/>
      <c r="T190" s="83"/>
      <c r="U190" s="83"/>
      <c r="V190" s="83"/>
      <c r="W190" s="83"/>
    </row>
    <row r="191" spans="2:23" x14ac:dyDescent="0.25">
      <c r="B191" s="83">
        <v>188</v>
      </c>
      <c r="C191" s="83">
        <v>1608</v>
      </c>
      <c r="D191" s="83"/>
      <c r="E191" s="83"/>
      <c r="F191" s="83"/>
      <c r="G191" s="83"/>
      <c r="H191" s="83"/>
      <c r="I191" s="83"/>
      <c r="J191" s="83"/>
      <c r="K191" s="83"/>
      <c r="L191" s="83"/>
      <c r="M191" s="83"/>
      <c r="N191" s="83"/>
      <c r="O191" s="83"/>
      <c r="P191" s="83"/>
      <c r="Q191" s="83"/>
      <c r="R191" s="83"/>
      <c r="S191" s="83"/>
      <c r="T191" s="83"/>
      <c r="U191" s="83"/>
      <c r="V191" s="83"/>
      <c r="W191" s="83"/>
    </row>
    <row r="192" spans="2:23" x14ac:dyDescent="0.25">
      <c r="B192" s="83">
        <v>189</v>
      </c>
      <c r="C192" s="83">
        <v>1609</v>
      </c>
      <c r="D192" s="83"/>
      <c r="E192" s="83"/>
      <c r="F192" s="83"/>
      <c r="G192" s="83"/>
      <c r="H192" s="83"/>
      <c r="I192" s="83"/>
      <c r="J192" s="83"/>
      <c r="K192" s="83"/>
      <c r="L192" s="84"/>
      <c r="M192" s="84"/>
      <c r="N192" s="84"/>
      <c r="O192" s="84"/>
      <c r="P192" s="83"/>
      <c r="Q192" s="83"/>
      <c r="R192" s="83"/>
      <c r="S192" s="83"/>
      <c r="T192" s="83"/>
      <c r="U192" s="83"/>
      <c r="V192" s="83"/>
      <c r="W192" s="83"/>
    </row>
    <row r="193" spans="2:23" x14ac:dyDescent="0.25">
      <c r="B193" s="83">
        <v>190</v>
      </c>
      <c r="C193" s="83">
        <v>1610</v>
      </c>
      <c r="D193" s="83"/>
      <c r="E193" s="83"/>
      <c r="F193" s="83"/>
      <c r="G193" s="83"/>
      <c r="H193" s="83"/>
      <c r="I193" s="83"/>
      <c r="J193" s="83"/>
      <c r="K193" s="83"/>
      <c r="L193" s="83"/>
      <c r="M193" s="83"/>
      <c r="N193" s="83"/>
      <c r="O193" s="83"/>
      <c r="P193" s="83"/>
      <c r="Q193" s="83"/>
      <c r="R193" s="83"/>
      <c r="S193" s="83"/>
      <c r="T193" s="83"/>
      <c r="U193" s="83"/>
      <c r="V193" s="83"/>
      <c r="W193" s="83"/>
    </row>
    <row r="194" spans="2:23" x14ac:dyDescent="0.25">
      <c r="B194" s="83">
        <v>191</v>
      </c>
      <c r="C194" s="83">
        <v>1611</v>
      </c>
      <c r="D194" s="83"/>
      <c r="E194" s="83"/>
      <c r="F194" s="83"/>
      <c r="G194" s="83"/>
      <c r="H194" s="83"/>
      <c r="I194" s="83"/>
      <c r="J194" s="83"/>
      <c r="K194" s="83"/>
      <c r="L194" s="83"/>
      <c r="M194" s="83"/>
      <c r="N194" s="83"/>
      <c r="O194" s="83"/>
      <c r="P194" s="83"/>
      <c r="Q194" s="83"/>
      <c r="R194" s="83"/>
      <c r="S194" s="83"/>
      <c r="T194" s="83"/>
      <c r="U194" s="83"/>
      <c r="V194" s="83"/>
      <c r="W194" s="83"/>
    </row>
    <row r="195" spans="2:23" x14ac:dyDescent="0.25">
      <c r="B195" s="83">
        <v>192</v>
      </c>
      <c r="C195" s="83">
        <v>1612</v>
      </c>
      <c r="D195" s="83"/>
      <c r="E195" s="83"/>
      <c r="F195" s="83"/>
      <c r="G195" s="83"/>
      <c r="H195" s="83"/>
      <c r="I195" s="83"/>
      <c r="J195" s="83"/>
      <c r="K195" s="83"/>
      <c r="L195" s="83"/>
      <c r="M195" s="83"/>
      <c r="N195" s="83"/>
      <c r="O195" s="83"/>
      <c r="P195" s="83"/>
      <c r="Q195" s="83"/>
      <c r="R195" s="83"/>
      <c r="S195" s="83"/>
      <c r="T195" s="83"/>
      <c r="U195" s="83"/>
      <c r="V195" s="83"/>
      <c r="W195" s="83"/>
    </row>
    <row r="196" spans="2:23" x14ac:dyDescent="0.25">
      <c r="B196" s="57"/>
      <c r="C196" s="57"/>
      <c r="D196" s="59"/>
      <c r="E196" s="59"/>
      <c r="F196" s="59"/>
      <c r="G196" s="59"/>
      <c r="H196" s="59"/>
      <c r="I196" s="59"/>
      <c r="J196" s="59"/>
      <c r="K196" s="59"/>
      <c r="L196" s="59"/>
      <c r="M196" s="59"/>
      <c r="N196" s="59"/>
      <c r="O196" s="59"/>
      <c r="P196" s="59"/>
      <c r="Q196" s="59"/>
      <c r="R196" s="59"/>
      <c r="S196" s="59"/>
      <c r="T196" s="59"/>
      <c r="U196" s="59"/>
      <c r="V196" s="59"/>
      <c r="W196" s="59"/>
    </row>
    <row r="197" spans="2:23" x14ac:dyDescent="0.25">
      <c r="B197" s="57"/>
      <c r="C197" s="57"/>
      <c r="D197" s="59"/>
      <c r="E197" s="59"/>
      <c r="F197" s="59"/>
      <c r="G197" s="59"/>
      <c r="H197" s="59"/>
      <c r="I197" s="59"/>
      <c r="J197" s="59"/>
      <c r="K197" s="59"/>
      <c r="L197" s="57">
        <v>59</v>
      </c>
      <c r="M197" s="57"/>
      <c r="N197" s="57"/>
      <c r="O197" s="59"/>
      <c r="P197" s="59"/>
      <c r="Q197" s="59"/>
      <c r="R197" s="59"/>
      <c r="S197" s="59">
        <f>24+8</f>
        <v>32</v>
      </c>
      <c r="T197" s="59"/>
      <c r="U197" s="59"/>
      <c r="V197" s="59"/>
      <c r="W197" s="59"/>
    </row>
    <row r="198" spans="2:23" x14ac:dyDescent="0.25">
      <c r="B198" s="57"/>
      <c r="C198" s="57"/>
      <c r="D198" s="59"/>
      <c r="E198" s="59"/>
      <c r="F198" s="59"/>
      <c r="G198" s="59"/>
      <c r="H198" s="59"/>
      <c r="I198" s="59"/>
      <c r="J198" s="59"/>
      <c r="K198" s="59"/>
      <c r="L198" s="59"/>
      <c r="M198" s="59"/>
      <c r="N198" s="59"/>
      <c r="O198" s="59"/>
      <c r="P198" s="59"/>
      <c r="Q198" s="59"/>
      <c r="R198" s="59"/>
      <c r="S198" s="59"/>
      <c r="T198" s="59"/>
      <c r="U198" s="59"/>
      <c r="V198" s="59"/>
      <c r="W198" s="59"/>
    </row>
    <row r="199" spans="2:23" x14ac:dyDescent="0.25">
      <c r="B199" s="57"/>
      <c r="C199" s="57"/>
      <c r="D199" s="59"/>
      <c r="E199" s="59"/>
      <c r="F199" s="59"/>
      <c r="G199" s="59"/>
      <c r="H199" s="59"/>
      <c r="I199" s="59"/>
      <c r="J199" s="59"/>
      <c r="K199" s="59"/>
      <c r="L199" s="59"/>
      <c r="M199" s="59"/>
      <c r="N199" s="59"/>
      <c r="O199" s="59"/>
      <c r="P199" s="59"/>
      <c r="Q199" s="59"/>
      <c r="R199" s="59"/>
      <c r="S199" s="59"/>
      <c r="T199" s="59"/>
      <c r="U199" s="59"/>
      <c r="V199" s="59"/>
      <c r="W199" s="59"/>
    </row>
    <row r="200" spans="2:23" x14ac:dyDescent="0.25">
      <c r="O200" s="65" t="s">
        <v>21</v>
      </c>
      <c r="S200" s="65" t="s">
        <v>23</v>
      </c>
      <c r="T200" s="65" t="s">
        <v>24</v>
      </c>
    </row>
    <row r="201" spans="2:23" x14ac:dyDescent="0.25">
      <c r="P201" s="65" t="s">
        <v>22</v>
      </c>
      <c r="S201" s="65">
        <v>240</v>
      </c>
      <c r="T201" s="65">
        <v>240</v>
      </c>
    </row>
    <row r="202" spans="2:23" x14ac:dyDescent="0.25">
      <c r="D202" s="83" t="s">
        <v>4</v>
      </c>
      <c r="E202" s="83"/>
      <c r="F202" s="83"/>
      <c r="G202" s="83">
        <v>178</v>
      </c>
      <c r="H202" s="65">
        <f>G202*2</f>
        <v>356</v>
      </c>
      <c r="P202" s="65" t="s">
        <v>15</v>
      </c>
      <c r="S202" s="65">
        <f>236+62</f>
        <v>298</v>
      </c>
      <c r="T202" s="65">
        <f>236+62</f>
        <v>298</v>
      </c>
    </row>
    <row r="203" spans="2:23" x14ac:dyDescent="0.25">
      <c r="D203" s="83" t="s">
        <v>10</v>
      </c>
      <c r="E203" s="83"/>
      <c r="F203" s="83"/>
      <c r="G203" s="83">
        <f>G202*2</f>
        <v>356</v>
      </c>
      <c r="H203" s="65">
        <f t="shared" ref="H203:H204" si="0">G203*2</f>
        <v>712</v>
      </c>
      <c r="P203" s="65" t="s">
        <v>4</v>
      </c>
      <c r="S203" s="65">
        <v>100</v>
      </c>
      <c r="W203" s="65" t="s">
        <v>25</v>
      </c>
    </row>
    <row r="204" spans="2:23" x14ac:dyDescent="0.25">
      <c r="D204" s="83" t="s">
        <v>11</v>
      </c>
      <c r="E204" s="83"/>
      <c r="F204" s="83"/>
      <c r="G204" s="83">
        <f>178*2</f>
        <v>356</v>
      </c>
      <c r="H204" s="65">
        <f t="shared" si="0"/>
        <v>712</v>
      </c>
    </row>
    <row r="205" spans="2:23" x14ac:dyDescent="0.25">
      <c r="P205" s="65" t="s">
        <v>10</v>
      </c>
      <c r="S205" s="65">
        <v>40</v>
      </c>
      <c r="T205" s="65">
        <v>40</v>
      </c>
    </row>
    <row r="206" spans="2:23" x14ac:dyDescent="0.25">
      <c r="C206" s="149" t="s">
        <v>14</v>
      </c>
      <c r="D206" s="150"/>
      <c r="E206" s="90"/>
      <c r="F206" s="90"/>
      <c r="G206" s="83" t="s">
        <v>4</v>
      </c>
      <c r="H206" s="84">
        <v>0</v>
      </c>
      <c r="I206" s="59"/>
      <c r="J206" s="59"/>
    </row>
    <row r="207" spans="2:23" x14ac:dyDescent="0.25">
      <c r="C207" s="151"/>
      <c r="D207" s="152"/>
      <c r="E207" s="91"/>
      <c r="F207" s="91"/>
      <c r="G207" s="83" t="s">
        <v>10</v>
      </c>
      <c r="H207" s="84">
        <v>0</v>
      </c>
      <c r="I207" s="59"/>
      <c r="J207" s="59"/>
    </row>
    <row r="208" spans="2:23" x14ac:dyDescent="0.25">
      <c r="C208" s="151"/>
      <c r="D208" s="152"/>
      <c r="E208" s="91"/>
      <c r="F208" s="91"/>
      <c r="G208" s="83" t="s">
        <v>15</v>
      </c>
      <c r="H208" s="84">
        <v>0</v>
      </c>
      <c r="I208" s="59"/>
      <c r="J208" s="59"/>
    </row>
    <row r="209" spans="2:16" x14ac:dyDescent="0.25">
      <c r="C209" s="151"/>
      <c r="D209" s="152"/>
      <c r="E209" s="91"/>
      <c r="F209" s="91"/>
      <c r="G209" s="83" t="s">
        <v>7</v>
      </c>
      <c r="H209" s="84">
        <v>113</v>
      </c>
      <c r="I209" s="59"/>
      <c r="J209" s="59"/>
      <c r="K209" s="88">
        <f>COUNT(P148:P159,T148:T159,P146,T146,P134:P144,T134:T144,P112:P132,T88:T132,P88:P95,P97:P110,P86,T86,T84,P84,P66:P82,T40:T82,P45:P64,P40:P41,P35:P37,T35:T38,T28:T32,P32,P29)</f>
        <v>0</v>
      </c>
    </row>
    <row r="210" spans="2:16" x14ac:dyDescent="0.25">
      <c r="C210" s="153"/>
      <c r="D210" s="154"/>
      <c r="E210" s="92"/>
      <c r="F210" s="92"/>
      <c r="G210" s="83" t="s">
        <v>8</v>
      </c>
      <c r="H210" s="84">
        <v>123</v>
      </c>
      <c r="I210" s="59"/>
      <c r="J210" s="59"/>
    </row>
    <row r="211" spans="2:16" x14ac:dyDescent="0.25">
      <c r="C211" s="155" t="s">
        <v>16</v>
      </c>
      <c r="D211" s="155"/>
      <c r="E211" s="57"/>
      <c r="F211" s="57"/>
      <c r="G211" s="89" t="s">
        <v>4</v>
      </c>
      <c r="H211" s="89">
        <v>18</v>
      </c>
      <c r="I211" s="57"/>
      <c r="J211" s="57"/>
      <c r="K211" s="88">
        <f>COUNT(D29:D31,D35:D47,D49:D50)</f>
        <v>18</v>
      </c>
      <c r="P211" s="65">
        <f>21</f>
        <v>21</v>
      </c>
    </row>
    <row r="212" spans="2:16" x14ac:dyDescent="0.25">
      <c r="B212" s="88" t="s">
        <v>17</v>
      </c>
      <c r="C212" s="67" t="s">
        <v>18</v>
      </c>
      <c r="D212" s="88"/>
      <c r="E212" s="88"/>
      <c r="F212" s="88"/>
      <c r="G212" s="89" t="s">
        <v>4</v>
      </c>
      <c r="H212" s="89">
        <v>22</v>
      </c>
      <c r="I212" s="57"/>
      <c r="J212" s="57"/>
      <c r="K212" s="88">
        <f>COUNT(D96:D97,D93:D94,D90:D91,D84,D80:D82,D66:D73,D60:D61,D56,D54)</f>
        <v>0</v>
      </c>
      <c r="P212" s="65">
        <v>16</v>
      </c>
    </row>
    <row r="213" spans="2:16" x14ac:dyDescent="0.25">
      <c r="C213" s="67" t="s">
        <v>18</v>
      </c>
      <c r="D213" s="88"/>
      <c r="E213" s="88"/>
      <c r="F213" s="88"/>
      <c r="G213" s="83" t="s">
        <v>7</v>
      </c>
      <c r="H213" s="83">
        <v>31</v>
      </c>
      <c r="I213" s="83"/>
      <c r="J213" s="83"/>
      <c r="K213" s="83"/>
    </row>
    <row r="214" spans="2:16" x14ac:dyDescent="0.25">
      <c r="G214" s="83" t="s">
        <v>8</v>
      </c>
      <c r="H214" s="83">
        <v>31</v>
      </c>
      <c r="I214" s="83"/>
      <c r="J214" s="83"/>
      <c r="K214" s="84"/>
    </row>
  </sheetData>
  <mergeCells count="9">
    <mergeCell ref="T2:W2"/>
    <mergeCell ref="C206:D210"/>
    <mergeCell ref="C211:D211"/>
    <mergeCell ref="B2:B3"/>
    <mergeCell ref="C2:C3"/>
    <mergeCell ref="D2:G2"/>
    <mergeCell ref="H2:K2"/>
    <mergeCell ref="L2:O2"/>
    <mergeCell ref="P2:S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2</vt:i4>
      </vt:variant>
    </vt:vector>
  </HeadingPairs>
  <TitlesOfParts>
    <vt:vector size="10" baseType="lpstr">
      <vt:lpstr>Frame</vt:lpstr>
      <vt:lpstr>Door</vt:lpstr>
      <vt:lpstr>Pending Frame</vt:lpstr>
      <vt:lpstr>Sheet3</vt:lpstr>
      <vt:lpstr>Sheet1</vt:lpstr>
      <vt:lpstr>Pending Frame 25.08.25</vt:lpstr>
      <vt:lpstr>Pending Door 21.09.25</vt:lpstr>
      <vt:lpstr>Sheet2</vt:lpstr>
      <vt:lpstr>Door!Print_Area</vt:lpstr>
      <vt:lpstr>Frame!Print_Area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User8</dc:creator>
  <cp:lastModifiedBy>User8</cp:lastModifiedBy>
  <cp:lastPrinted>2025-09-30T07:02:03Z</cp:lastPrinted>
  <dcterms:created xsi:type="dcterms:W3CDTF">2025-04-21T11:42:22Z</dcterms:created>
  <dcterms:modified xsi:type="dcterms:W3CDTF">2025-11-21T13:39:08Z</dcterms:modified>
</cp:coreProperties>
</file>